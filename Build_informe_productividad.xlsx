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Informes\"/>
    </mc:Choice>
  </mc:AlternateContent>
  <xr:revisionPtr revIDLastSave="0" documentId="13_ncr:1_{6ABB0345-5239-49A8-99F9-C7E1AF27A79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SHBOARD" sheetId="1" r:id="rId1"/>
    <sheet name="PRODUCCION MENSUAL" sheetId="2" r:id="rId2"/>
    <sheet name="1ra QUINCENA 15-MAY" sheetId="3" r:id="rId3"/>
    <sheet name="2da QUINCENA 30-MAY" sheetId="4" r:id="rId4"/>
    <sheet name="RANKING PRODUCTIVIDAD" sheetId="5" r:id="rId5"/>
    <sheet name="RETRO - PRODUCTIVIDAD" sheetId="6" r:id="rId6"/>
    <sheet name="COSTOS OPERATIVOS" sheetId="7" r:id="rId7"/>
    <sheet name="BASE TRABAJADORES" sheetId="8" r:id="rId8"/>
  </sheets>
  <calcPr calcId="0"/>
</workbook>
</file>

<file path=xl/sharedStrings.xml><?xml version="1.0" encoding="utf-8"?>
<sst xmlns="http://schemas.openxmlformats.org/spreadsheetml/2006/main" count="896" uniqueCount="359">
  <si>
    <t>⛏  COEXCOL – INFORME DE PRODUCCIÓN – MAYO 2026</t>
  </si>
  <si>
    <t>FRENTE PAJARITA | CENTRO COSTA RICA | COMPAÑÍA EXPORTADORA DE CARBONES DE COLOMBIA SAS</t>
  </si>
  <si>
    <t>INDICADORES CLAVE DE PRODUCCIÓN</t>
  </si>
  <si>
    <t>PRODUCCIÓN
MESSUAL</t>
  </si>
  <si>
    <t>1ra QUINCENA
(15-MAY)</t>
  </si>
  <si>
    <t>2da QUINCENA
(30-MAY)</t>
  </si>
  <si>
    <t>BÁSCULA REF.
1ra QUINCENA</t>
  </si>
  <si>
    <t>NÓMINA
TOTAL MAYO</t>
  </si>
  <si>
    <t>TON</t>
  </si>
  <si>
    <t>COP</t>
  </si>
  <si>
    <t>COSTO OPERATIVO
MAYO</t>
  </si>
  <si>
    <t>COSTO
POR TONELADA</t>
  </si>
  <si>
    <t>RETRO – COSTO
TOTAL MAYO</t>
  </si>
  <si>
    <t>RETRO – COSTO
POR TONELADA</t>
  </si>
  <si>
    <t>TRABAJADORES
ACTIVOS MAYO</t>
  </si>
  <si>
    <t>COP/TON</t>
  </si>
  <si>
    <t>PERS.</t>
  </si>
  <si>
    <t>PRODUCCIÓN HISTÓRICA ENERO – MAYO 2026  (Toneladas)</t>
  </si>
  <si>
    <t>MES</t>
  </si>
  <si>
    <t>TONELADAS</t>
  </si>
  <si>
    <t>% AUSENCIAS</t>
  </si>
  <si>
    <t>TRABAJADORES</t>
  </si>
  <si>
    <t>vs MES ANT. (TON)</t>
  </si>
  <si>
    <t>vs MES ANT. (%)</t>
  </si>
  <si>
    <t>Mes</t>
  </si>
  <si>
    <t>Toneladas</t>
  </si>
  <si>
    <t>ENERO</t>
  </si>
  <si>
    <t>—</t>
  </si>
  <si>
    <t>FEBRERO</t>
  </si>
  <si>
    <t>MARZO</t>
  </si>
  <si>
    <t>ABRIL</t>
  </si>
  <si>
    <t>MAYO</t>
  </si>
  <si>
    <t>TOP 5 PRODUCTIVIDAD MAYO</t>
  </si>
  <si>
    <t>TRABAJADOR</t>
  </si>
  <si>
    <t>META</t>
  </si>
  <si>
    <t>CUMPL.</t>
  </si>
  <si>
    <t>MOLINA NILSON</t>
  </si>
  <si>
    <t>PATIÑO JAIRO</t>
  </si>
  <si>
    <t>MORENO WILFER</t>
  </si>
  <si>
    <t>BARRIOS LUIS</t>
  </si>
  <si>
    <t>OROPEZA DUMAR</t>
  </si>
  <si>
    <t>Elaborado por: Jefa de Recurso Humanos y Jefa de Proyecto | COEXCOL – Mina Pajarita | Mayo 2026</t>
  </si>
  <si>
    <t>PRODUCCIÓN HISTÓRICA MENSUAL – ENERO A MAYO 2026</t>
  </si>
  <si>
    <t>COEXCOL | MINA PAJARITA | FRENTE COSTA RICA</t>
  </si>
  <si>
    <t>RESUMEN DE PRODUCCIÓN POR MES</t>
  </si>
  <si>
    <t>TONELADAS
PRODUCIDAS</t>
  </si>
  <si>
    <t>META
MENSUAL</t>
  </si>
  <si>
    <t>CUMPLIMIENTO
%</t>
  </si>
  <si>
    <t>TRABAJADORES
ACTIVOS</t>
  </si>
  <si>
    <t>VARIACIÓN
TON</t>
  </si>
  <si>
    <t>VARIACIÓN
%</t>
  </si>
  <si>
    <t>COSTO APROX.
$/TON</t>
  </si>
  <si>
    <t>Produccion</t>
  </si>
  <si>
    <t>Ausencias %</t>
  </si>
  <si>
    <t>N/D</t>
  </si>
  <si>
    <t>TOTAL / PROMEDIO</t>
  </si>
  <si>
    <t>ANÁLISIS DE VARIACIONES Y OBSERVACIONES</t>
  </si>
  <si>
    <t>OBSERVACIÓN</t>
  </si>
  <si>
    <t>Inicio de operaciones con 65 trabajadores activos.</t>
  </si>
  <si>
    <t>Incremento de +196 ton (+11.5%) vs enero. Ausentismo menor: 15%.</t>
  </si>
  <si>
    <t>PICO DE PRODUCCIÓN: 2,000 toneladas. Máximo histórico del período.</t>
  </si>
  <si>
    <t>Caída de -200 ton vs marzo. Ausentismo sube a 23%.</t>
  </si>
  <si>
    <t>Recuperación: +127 ton vs abril. Ausentismo se mantiene en 23%.</t>
  </si>
  <si>
    <t>1ra QUINCENA – LABOR OPERATIVA 15 DE MAYO 2026</t>
  </si>
  <si>
    <t>MINA PAJARITA | NÓMINA PERIODO: 01 AL 15 DE MAYO DE 2026</t>
  </si>
  <si>
    <t>RESUMEN DE QUINCENA</t>
  </si>
  <si>
    <t>TONELADAS
CALCULADAS</t>
  </si>
  <si>
    <t>TONELADAS
BÁSCULA</t>
  </si>
  <si>
    <t>DIFERENCIA
BÁSCULA-CALC.</t>
  </si>
  <si>
    <t>TOTAL
NÓMINA OPER.</t>
  </si>
  <si>
    <t>TOTAL
APOYO</t>
  </si>
  <si>
    <t>NÓMINA OPERATIVA – TRABAJADORES DESTAJO (1ra QUINCENA)</t>
  </si>
  <si>
    <t>N°</t>
  </si>
  <si>
    <t>PICADA
(COP)</t>
  </si>
  <si>
    <t>ALEMANA
(COP)</t>
  </si>
  <si>
    <t>PUERTA
REFORCE</t>
  </si>
  <si>
    <t>TURNO
(COP)</t>
  </si>
  <si>
    <t>OTROS
BONOS</t>
  </si>
  <si>
    <t>TOTAL
DEVENGADO</t>
  </si>
  <si>
    <t>PROD.
ACUMULADA</t>
  </si>
  <si>
    <t>ALBARRACIN ALFONSO</t>
  </si>
  <si>
    <t>RINCON WALTER</t>
  </si>
  <si>
    <t>ROJAS WILMER</t>
  </si>
  <si>
    <t>CABRERA CARLOS</t>
  </si>
  <si>
    <t>GONZALEZ FERNANDO</t>
  </si>
  <si>
    <t>MONTES EDGARDO</t>
  </si>
  <si>
    <t>CHAPARRO JEFFERSON</t>
  </si>
  <si>
    <t>MERIÑO LUIS</t>
  </si>
  <si>
    <t>RODRIGUEZ JOSE LUIS</t>
  </si>
  <si>
    <t>MARTINEZ HECTOR</t>
  </si>
  <si>
    <t>DURAN VICTOR</t>
  </si>
  <si>
    <t>ESCOBAR DISNEY</t>
  </si>
  <si>
    <t>LIZCANO CARLOS</t>
  </si>
  <si>
    <t>MUÑOZ YORFAN</t>
  </si>
  <si>
    <t>ROMERO HAIDER</t>
  </si>
  <si>
    <t>GONZALEZ CARLOS</t>
  </si>
  <si>
    <t>CHIQUILLO WILSON</t>
  </si>
  <si>
    <t>SAAVEDRA JOSE ALI</t>
  </si>
  <si>
    <t>ROMERO JOSE ALIRIO</t>
  </si>
  <si>
    <t>CARREÑO JESUS ANNER</t>
  </si>
  <si>
    <t>VALENCIA FERNEY</t>
  </si>
  <si>
    <t>CASTILLO CRISTIAN</t>
  </si>
  <si>
    <t>PATIÑO MARTIN</t>
  </si>
  <si>
    <t>FUENTES JEISSON</t>
  </si>
  <si>
    <t>BENAVIDES CARLOS</t>
  </si>
  <si>
    <t>MERECUANA ENDER</t>
  </si>
  <si>
    <t>CUSBA JORGE</t>
  </si>
  <si>
    <t>FERNANDEZ PABLO</t>
  </si>
  <si>
    <t>MERIÑO CESAR</t>
  </si>
  <si>
    <t>SERRANO JOSE</t>
  </si>
  <si>
    <t>SANABRIA HERNAN</t>
  </si>
  <si>
    <t>SEGOVIA ANGEL</t>
  </si>
  <si>
    <t>RODRIGUEZ RICHARD</t>
  </si>
  <si>
    <t>ARLEY CAMILO MADERO</t>
  </si>
  <si>
    <t>CASTILLO JUAN ESTEBAN</t>
  </si>
  <si>
    <t>CARDENAS SEBASTIAN</t>
  </si>
  <si>
    <t>TOTALES</t>
  </si>
  <si>
    <t>PERSONAL DE APOYO – 1ra QUINCENA</t>
  </si>
  <si>
    <t>ROL</t>
  </si>
  <si>
    <t>NOMBRE</t>
  </si>
  <si>
    <t>BÁSICO / DEVENGADO</t>
  </si>
  <si>
    <t>% NÓMINA</t>
  </si>
  <si>
    <t>MALACATERO</t>
  </si>
  <si>
    <t>GAMEZ CARLOS</t>
  </si>
  <si>
    <t>CARLOS TORRES</t>
  </si>
  <si>
    <t>TOLVERO</t>
  </si>
  <si>
    <t>CHAVARRO ZULEIDY</t>
  </si>
  <si>
    <t>CATALAN DAVID</t>
  </si>
  <si>
    <t>PATIERO</t>
  </si>
  <si>
    <t>ALIRIO MENDEZ</t>
  </si>
  <si>
    <t>GAMEZ FRAGOSO CARLOS</t>
  </si>
  <si>
    <t>SOLDADOR</t>
  </si>
  <si>
    <t>YOFED VASQUEZ</t>
  </si>
  <si>
    <t>RETRO-SOLDADOR</t>
  </si>
  <si>
    <t>SOLEDADE JESUS</t>
  </si>
  <si>
    <t>TOTAL APOYO</t>
  </si>
  <si>
    <t>2da QUINCENA – LABOR OPERATIVA 30 DE MAYO 2026</t>
  </si>
  <si>
    <t>MINA PAJARITA | NÓMINA PERIODO: 16 AL 30 DE MAYO DE 2026</t>
  </si>
  <si>
    <t>VARIACIÓN
vs 1ra Q</t>
  </si>
  <si>
    <t>VAR. %
vs 1ra Q</t>
  </si>
  <si>
    <t>NÓMINA OPERATIVA – TRABAJADORES DESTAJO (2da QUINCENA)</t>
  </si>
  <si>
    <t>PEDRAZA YEISON</t>
  </si>
  <si>
    <t>ROCHA JUAN</t>
  </si>
  <si>
    <t>VALENCIA EDILBERTO</t>
  </si>
  <si>
    <t>PEREZ JESUS</t>
  </si>
  <si>
    <t>VEGA YESID</t>
  </si>
  <si>
    <t>GAITAN NELSON</t>
  </si>
  <si>
    <t>PEDRAZA JUAN CARLOS</t>
  </si>
  <si>
    <t>PEREZ EDILBERTO</t>
  </si>
  <si>
    <t>PERSONAL DE APOYO – 2da QUINCENA</t>
  </si>
  <si>
    <t>ARCINIEGAAS BRAYAN</t>
  </si>
  <si>
    <t>RETRO-OPERADOR</t>
  </si>
  <si>
    <t>OPERADOR RETRO (PAJARITA)</t>
  </si>
  <si>
    <t>RANKING DE PRODUCTIVIDAD POR TRABAJADOR – MAYO 2026</t>
  </si>
  <si>
    <t>MINA PAJARITA | META: 84 TON/QUINCENA POR OPERADOR</t>
  </si>
  <si>
    <t>MAYOR
PRODUCTOR</t>
  </si>
  <si>
    <t>TONELADAS
MÁXIMAS</t>
  </si>
  <si>
    <t>PROMEDIO
DE EQUIPO</t>
  </si>
  <si>
    <t>CUMPL. PROMEDIO</t>
  </si>
  <si>
    <t>TRABAJADORES
EVALUADOS</t>
  </si>
  <si>
    <t>RANKING COMPLETO – ORDENADO POR TONELAJE PRODUCIDO</t>
  </si>
  <si>
    <t>RANK</t>
  </si>
  <si>
    <t>META
(TON)</t>
  </si>
  <si>
    <t>DESEMPEÑO</t>
  </si>
  <si>
    <t>PAGADO Q1
(COP)</t>
  </si>
  <si>
    <t>PAGADO Q2
(COP)</t>
  </si>
  <si>
    <t>TOTAL
PAGADO</t>
  </si>
  <si>
    <t>Trabajador</t>
  </si>
  <si>
    <t>SOBRESALIENTE 🏆</t>
  </si>
  <si>
    <t>DESTACADO ⭐</t>
  </si>
  <si>
    <t>REGULAR</t>
  </si>
  <si>
    <t>BAJO ⚠</t>
  </si>
  <si>
    <t>TOTALES / PROMEDIOS</t>
  </si>
  <si>
    <t>ANÁLISIS DE PRODUCTIVIDAD – RETROEXCAVADORA</t>
  </si>
  <si>
    <t>FRENTE PAJARITA | COEXCOL | MAYO 2026</t>
  </si>
  <si>
    <t>INFORMACIÓN DEL EQUIPO Y OPERADORES</t>
  </si>
  <si>
    <t>Tipo de Equipo</t>
  </si>
  <si>
    <t>Retroexcavadora – Soporte de avances y excavación Frente Pajarita</t>
  </si>
  <si>
    <t>Función Operativa</t>
  </si>
  <si>
    <t>Excavación de labores, soporte de avances, cargue y transporte de material en frente</t>
  </si>
  <si>
    <t>Operador 1ra Quincena</t>
  </si>
  <si>
    <t>Jesús Sacramento de Jesús Soledad (PAJARITA – clasificado en Soldadores/Retro)</t>
  </si>
  <si>
    <t>Operador 2da Quincena</t>
  </si>
  <si>
    <t>Operador Retro – PAJARITA (clasificado bajo Patieros/Retro)</t>
  </si>
  <si>
    <t>Tarifa Hora Máquina Ref.</t>
  </si>
  <si>
    <t>$ 3,000 COP / hora (referencia operativa)</t>
  </si>
  <si>
    <t>Horas Estimadas (Base)</t>
  </si>
  <si>
    <t>2 turnos × 8 horas × 15 días = 240 horas productivas por quincena</t>
  </si>
  <si>
    <t>INDICADORES DE PRODUCTIVIDAD POR QUINCENA</t>
  </si>
  <si>
    <t>INDICADOR</t>
  </si>
  <si>
    <t>1ra QUINCENA
(01–15 MAY)</t>
  </si>
  <si>
    <t>2da QUINCENA
(16–30 MAY)</t>
  </si>
  <si>
    <t>TOTAL / PROM.
MAYO 2026</t>
  </si>
  <si>
    <t>VARIACIÓN
Q2 vs Q1</t>
  </si>
  <si>
    <t>VARIACIÓN %
Q2 vs Q1</t>
  </si>
  <si>
    <t>Período</t>
  </si>
  <si>
    <t>Ton/Hora</t>
  </si>
  <si>
    <t>Salario Operador (COP)</t>
  </si>
  <si>
    <t>1ra Quincena</t>
  </si>
  <si>
    <t>Horas Productivas Estimadas</t>
  </si>
  <si>
    <t>2da Quincena</t>
  </si>
  <si>
    <t>Producción del Período (TON)</t>
  </si>
  <si>
    <t>Costo por Hora Operada (COP/hr)</t>
  </si>
  <si>
    <t>Toneladas por Hora de Retro</t>
  </si>
  <si>
    <t>Costo Retro por Tonelada (COP/ton)</t>
  </si>
  <si>
    <t>% del Total Nómina Operativa</t>
  </si>
  <si>
    <t>Costo Retro / Costo Op. Total</t>
  </si>
  <si>
    <t>INTERPRETACIÓN DE RESULTADOS – RETROEXCAVADORA</t>
  </si>
  <si>
    <t>CATEGORÍA</t>
  </si>
  <si>
    <t>ANÁLISIS</t>
  </si>
  <si>
    <t>ESTADO</t>
  </si>
  <si>
    <t>PRODUCCIÓN</t>
  </si>
  <si>
    <t>La retroexcavadora soportó la extracción de 933.82 ton en la 1ra quincena y 1,116.90 ton en la 2da, representando una mejora del 19.6% entre períodos.</t>
  </si>
  <si>
    <t>POSITIVO</t>
  </si>
  <si>
    <t>EFICIENCIA</t>
  </si>
  <si>
    <t>La productividad mejoró de 3.89 ton/hora a 4.65 ton/hora de operación (+19.5%). La 2da quincena fue significativamente más eficiente.</t>
  </si>
  <si>
    <t>COSTO POR TONELADA</t>
  </si>
  <si>
    <t>El costo del operador retro por tonelada bajó de $1,510.91 (Q1) a $1,194.95 (Q2), una reducción del 20.9% por mejora de eficiencia.</t>
  </si>
  <si>
    <t>INCIDENCIA EN NÓMINA</t>
  </si>
  <si>
    <t>El operador de la retroexcavadora representó el 2.43% (Q1) y 2.16% (Q2) de la nómina operativa total. Participación controlada y eficiente.</t>
  </si>
  <si>
    <t>NEUTRO</t>
  </si>
  <si>
    <t>RECOMENDACIÓN</t>
  </si>
  <si>
    <t>Mantener registro de horas reales operadas para depurar métricas de productividad. Se recomienda estandarizar el rol del operador retro en nómina.</t>
  </si>
  <si>
    <t>ACCIÓN</t>
  </si>
  <si>
    <t>ESTRUCTURA DE COSTOS OPERATIVOS – MAYO 2026</t>
  </si>
  <si>
    <t>COEXCOL | MINA PAJARITA | COSTO TOTAL: $ 93,487,221 COP</t>
  </si>
  <si>
    <t>RESUMEN COSTO OPERATIVO</t>
  </si>
  <si>
    <t>COSTO TOTAL
OPERATIVO</t>
  </si>
  <si>
    <t>COSTO POR
TONELADA</t>
  </si>
  <si>
    <t>PICADA
(Mayor costo)</t>
  </si>
  <si>
    <t>ALIMENTACIÓN +
DOMINICALES</t>
  </si>
  <si>
    <t>DESGLOSE POR CONCEPTO DE COSTO – MAYO 2026</t>
  </si>
  <si>
    <t>CONCEPTO DE COSTO</t>
  </si>
  <si>
    <t>VALOR (COP)</t>
  </si>
  <si>
    <t>% DEL TOTAL</t>
  </si>
  <si>
    <t>ACUM. (%)</t>
  </si>
  <si>
    <t>Concepto</t>
  </si>
  <si>
    <t>Valor</t>
  </si>
  <si>
    <t>PICADA (Coches)</t>
  </si>
  <si>
    <t>██████████████████████ 68.4%</t>
  </si>
  <si>
    <t>PICADA</t>
  </si>
  <si>
    <t>ALIMENTACIÓN</t>
  </si>
  <si>
    <t>█████ 16.6%</t>
  </si>
  <si>
    <t>ALEMANA</t>
  </si>
  <si>
    <t>DOMINICALES</t>
  </si>
  <si>
    <t>█████ 16.0%</t>
  </si>
  <si>
    <t>███ 11.1%</t>
  </si>
  <si>
    <t>COCHES GUAYADOS</t>
  </si>
  <si>
    <t>██ 7.2%</t>
  </si>
  <si>
    <t>GUAYADOS</t>
  </si>
  <si>
    <t>MALACATEROS</t>
  </si>
  <si>
    <t>██ 6.3%</t>
  </si>
  <si>
    <t>VENTANA</t>
  </si>
  <si>
    <t>█ 5.2%</t>
  </si>
  <si>
    <t>SOPORTE OPER.</t>
  </si>
  <si>
    <t>PATIEROS</t>
  </si>
  <si>
    <t>█ 4.1%</t>
  </si>
  <si>
    <t>METRO DE ROCA</t>
  </si>
  <si>
    <t>█ 3.2%</t>
  </si>
  <si>
    <t>RETRO (PAJARITA)</t>
  </si>
  <si>
    <t>█ 3.0%</t>
  </si>
  <si>
    <t>TOLVEROS</t>
  </si>
  <si>
    <t xml:space="preserve"> 3.0%</t>
  </si>
  <si>
    <t>SOLDADORES</t>
  </si>
  <si>
    <t xml:space="preserve"> 2.5%</t>
  </si>
  <si>
    <t>TRAMO</t>
  </si>
  <si>
    <t xml:space="preserve"> 2.0%</t>
  </si>
  <si>
    <t>TURNO</t>
  </si>
  <si>
    <t xml:space="preserve"> 1.9%</t>
  </si>
  <si>
    <t>REFORCE</t>
  </si>
  <si>
    <t xml:space="preserve"> 0.6%</t>
  </si>
  <si>
    <t>CANASTA</t>
  </si>
  <si>
    <t xml:space="preserve"> 0.3%</t>
  </si>
  <si>
    <t>TOTAL COSTO OPERATIVO</t>
  </si>
  <si>
    <t>BASE DE DATOS – TRABAJADORES OPERATIVOS MAYO 2026</t>
  </si>
  <si>
    <t>COEXCOL | 49 OPERADORES MINEROS REGISTRADOS</t>
  </si>
  <si>
    <t>REGISTRO COMPLETO DE PERSONAL OPERATIVO</t>
  </si>
  <si>
    <t>ID</t>
  </si>
  <si>
    <t>EDAD</t>
  </si>
  <si>
    <t>ORIGEN</t>
  </si>
  <si>
    <t>NIVEL EDUC.</t>
  </si>
  <si>
    <t>FORMACIÓN</t>
  </si>
  <si>
    <t>E. CIVIL</t>
  </si>
  <si>
    <t>HIJOS</t>
  </si>
  <si>
    <t>E. FÍSICO</t>
  </si>
  <si>
    <t>EXP.(AÑOS)</t>
  </si>
  <si>
    <t>TON EXTRAÍDAS</t>
  </si>
  <si>
    <t>META (TON)</t>
  </si>
  <si>
    <t>PRODUCT. %</t>
  </si>
  <si>
    <t>M001</t>
  </si>
  <si>
    <t>Colombia</t>
  </si>
  <si>
    <t>Secundaria</t>
  </si>
  <si>
    <t>Oper. Minero</t>
  </si>
  <si>
    <t>Casado</t>
  </si>
  <si>
    <t>Óptimo</t>
  </si>
  <si>
    <t>M002</t>
  </si>
  <si>
    <t>Técnico</t>
  </si>
  <si>
    <t>Soltero</t>
  </si>
  <si>
    <t>M003</t>
  </si>
  <si>
    <t>Primaria</t>
  </si>
  <si>
    <t>M004</t>
  </si>
  <si>
    <t>M005</t>
  </si>
  <si>
    <t>Venezuela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</si>
  <si>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</si>
  <si>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</si>
  <si>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</si>
  <si>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</si>
  <si>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</si>
  <si>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</si>
  <si>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</si>
  <si>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</si>
  <si>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</si>
  <si>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</si>
  <si>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</si>
  <si>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</si>
  <si>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</si>
  <si>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</si>
  <si>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</si>
  <si>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</si>
  <si>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</si>
  <si>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</si>
  <si>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</si>
  <si>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</si>
  <si>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</si>
  <si>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</si>
  <si>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</si>
  <si>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</si>
  <si>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</si>
  <si>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</si>
  <si>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</si>
  <si>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</si>
  <si>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</si>
  <si>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</si>
  <si>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</si>
  <si>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</si>
  <si>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</si>
  <si>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</si>
  <si>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</si>
  <si>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</si>
  <si>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</si>
  <si>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</si>
  <si>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</si>
  <si>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</si>
  <si>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</si>
  <si>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</si>
  <si>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</si>
  <si>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</si>
  <si>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ESTADÍSTICAS DEL PERSONAL</t>
  </si>
  <si>
    <t>ESTADÍSTICA</t>
  </si>
  <si>
    <t>VALOR</t>
  </si>
  <si>
    <t>UNIDAD</t>
  </si>
  <si>
    <t>Total Trabajadores</t>
  </si>
  <si>
    <t>pers.</t>
  </si>
  <si>
    <t>Edad Promedio</t>
  </si>
  <si>
    <t>años</t>
  </si>
  <si>
    <t>Exp. Promedio</t>
  </si>
  <si>
    <t>Colombianos</t>
  </si>
  <si>
    <t>Venezolanos</t>
  </si>
  <si>
    <t>Total Ton. Producidas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</si>
</sst>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\$\ #,##0"/>
    <numFmt numFmtId="165" formatCode="\$\ #,##0.00"/>
    <numFmt numFmtId="166" formatCode="0.0%"/>
    <numFmt numFmtId="167" formatCode="#,##0.0"/>
    <numFmt numFmtId="169" formatCode="_-&quot;$&quot;\ * #,##0_-;\-&quot;$&quot;\ * #,##0_-;_-&quot;$&quot;\ * &quot;-&quot;??_-;_-@_-"/>
  </numFmts>
  <fonts count="61" x14ac:knownFonts="1">
    <font>
      <sz val="11"/>
      <color theme="1"/>
      <name val="Calibri"/>
      <family val="2"/>
      <scheme val="minor"/>
    </font>
    <font>
      <b/>
      <sz val="17"/>
      <color rgb="FFC9A227"/>
      <name val="Calibri"/>
    </font>
    <font>
      <b/>
      <sz val="10"/>
      <color rgb="FFFFFFFF"/>
      <name val="Calibri"/>
    </font>
    <font>
      <b/>
      <sz val="12"/>
      <color rgb="FFC9A227"/>
      <name val="Calibri"/>
    </font>
    <font>
      <b/>
      <sz val="9"/>
      <color rgb="FFC9A227"/>
      <name val="Calibri"/>
    </font>
    <font>
      <b/>
      <sz val="8"/>
      <color rgb="FF1C2833"/>
      <name val="Calibri"/>
    </font>
    <font>
      <b/>
      <sz val="9"/>
      <color rgb="FFFFFFFF"/>
      <name val="Calibri"/>
    </font>
    <font>
      <b/>
      <sz val="15"/>
      <color rgb="FFFFFFFF"/>
      <name val="Calibri"/>
    </font>
    <font>
      <b/>
      <sz val="11"/>
      <color rgb="FFC9A227"/>
      <name val="Calibri"/>
    </font>
    <font>
      <b/>
      <sz val="10"/>
      <color rgb="FF1F3864"/>
      <name val="Calibri"/>
    </font>
    <font>
      <sz val="10"/>
      <color rgb="FF000000"/>
      <name val="Calibri"/>
    </font>
    <font>
      <b/>
      <sz val="10"/>
      <color rgb="FF1E8449"/>
      <name val="Calibri"/>
    </font>
    <font>
      <b/>
      <sz val="10"/>
      <color rgb="FF922B21"/>
      <name val="Calibri"/>
    </font>
    <font>
      <b/>
      <sz val="11"/>
      <color rgb="FFFFFFFF"/>
      <name val="Calibri"/>
    </font>
    <font>
      <b/>
      <sz val="9"/>
      <color rgb="FF1F3864"/>
      <name val="Calibri"/>
    </font>
    <font>
      <sz val="9"/>
      <color rgb="FF000000"/>
      <name val="Calibri"/>
    </font>
    <font>
      <b/>
      <sz val="9"/>
      <color rgb="FF1E8449"/>
      <name val="Calibri"/>
    </font>
    <font>
      <i/>
      <sz val="9"/>
      <color rgb="FFC9A227"/>
      <name val="Calibri"/>
    </font>
    <font>
      <b/>
      <sz val="14"/>
      <color rgb="FFC9A227"/>
      <name val="Calibri"/>
    </font>
    <font>
      <b/>
      <sz val="10"/>
      <color rgb="FFE67E22"/>
      <name val="Calibri"/>
    </font>
    <font>
      <b/>
      <sz val="10"/>
      <color rgb="FFC9A227"/>
      <name val="Calibri"/>
    </font>
    <font>
      <i/>
      <sz val="10"/>
      <color rgb="FF595959"/>
      <name val="Calibri"/>
    </font>
    <font>
      <b/>
      <sz val="9"/>
      <color rgb="FF000000"/>
      <name val="Calibri"/>
    </font>
    <font>
      <sz val="9"/>
      <color rgb="FF1F3864"/>
      <name val="Calibri"/>
    </font>
    <font>
      <sz val="9"/>
      <color rgb="FF595959"/>
      <name val="Calibri"/>
    </font>
    <font>
      <b/>
      <sz val="9"/>
      <color rgb="FF6C3483"/>
      <name val="Calibri"/>
    </font>
    <font>
      <b/>
      <sz val="13"/>
      <color rgb="FFFFFFFF"/>
      <name val="Calibri"/>
    </font>
    <font>
      <b/>
      <sz val="13"/>
      <color rgb="FFC9A227"/>
      <name val="Calibri"/>
    </font>
    <font>
      <sz val="9"/>
      <color rgb="FF1E8449"/>
      <name val="Calibri"/>
    </font>
    <font>
      <b/>
      <sz val="9"/>
      <color rgb="FFE67E22"/>
      <name val="Calibri"/>
    </font>
    <font>
      <sz val="9"/>
      <color rgb="FFE67E22"/>
      <name val="Calibri"/>
    </font>
    <font>
      <b/>
      <sz val="9"/>
      <color rgb="FF595959"/>
      <name val="Calibri"/>
    </font>
    <font>
      <b/>
      <sz val="9"/>
      <color rgb="FF922B21"/>
      <name val="Calibri"/>
    </font>
    <font>
      <sz val="9"/>
      <color rgb="FF922B21"/>
      <name val="Calibri"/>
    </font>
    <font>
      <b/>
      <sz val="10"/>
      <color rgb="FF6C3483"/>
      <name val="Calibri"/>
    </font>
    <font>
      <sz val="10"/>
      <color rgb="FF1C2833"/>
      <name val="Calibri"/>
    </font>
    <font>
      <b/>
      <sz val="10"/>
      <color rgb="FF1C2833"/>
      <name val="Calibri"/>
    </font>
    <font>
      <i/>
      <sz val="10"/>
      <color rgb="FF1C2833"/>
      <name val="Calibri"/>
    </font>
    <font>
      <b/>
      <sz val="14"/>
      <color rgb="FFFFFFFF"/>
      <name val="Calibri"/>
    </font>
    <font>
      <b/>
      <sz val="10"/>
      <color rgb="FF000000"/>
      <name val="Calibri"/>
    </font>
    <font>
      <sz val="10"/>
      <color rgb="FF595959"/>
      <name val="Calibri"/>
    </font>
    <font>
      <sz val="9"/>
      <color rgb="FFE74C3C"/>
      <name val="Calibri"/>
    </font>
    <font>
      <sz val="9"/>
      <color rgb="FFE67E22"/>
      <name val="Calibri"/>
    </font>
    <font>
      <sz val="9"/>
      <color rgb="FFF39C12"/>
      <name val="Calibri"/>
    </font>
    <font>
      <sz val="10"/>
      <color rgb="FF1F3864"/>
      <name val="Calibri"/>
    </font>
    <font>
      <sz val="9"/>
      <color rgb="FF2E86C1"/>
      <name val="Calibri"/>
    </font>
    <font>
      <sz val="9"/>
      <color rgb="FF6C3483"/>
      <name val="Calibri"/>
    </font>
    <font>
      <sz val="9"/>
      <color rgb="FF117A65"/>
      <name val="Calibri"/>
    </font>
    <font>
      <sz val="9"/>
      <color rgb="FF1A5276"/>
      <name val="Calibri"/>
    </font>
    <font>
      <sz val="9"/>
      <color rgb="FF1E8449"/>
      <name val="Calibri"/>
    </font>
    <font>
      <sz val="9"/>
      <color rgb="FF2C3E50"/>
      <name val="Calibri"/>
    </font>
    <font>
      <sz val="9"/>
      <color rgb="FF8E44AD"/>
      <name val="Calibri"/>
    </font>
    <font>
      <sz val="9"/>
      <color rgb="FF27AE60"/>
      <name val="Calibri"/>
    </font>
    <font>
      <sz val="9"/>
      <color rgb="FF148F77"/>
      <name val="Calibri"/>
    </font>
    <font>
      <sz val="9"/>
      <color rgb="FF85C1E9"/>
      <name val="Calibri"/>
    </font>
    <font>
      <sz val="9"/>
      <color rgb="FFAED6F1"/>
      <name val="Calibri"/>
    </font>
    <font>
      <sz val="9"/>
      <color rgb="FFD6EAF8"/>
      <name val="Calibri"/>
    </font>
    <font>
      <sz val="9"/>
      <color rgb="FFEBF5FB"/>
      <name val="Calibri"/>
    </font>
    <font>
      <b/>
      <sz val="10"/>
      <color rgb="FF595959"/>
      <name val="Calibri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1C2833"/>
      </patternFill>
    </fill>
    <fill>
      <patternFill patternType="solid">
        <fgColor rgb="FF1F3864"/>
      </patternFill>
    </fill>
    <fill>
      <patternFill patternType="solid">
        <fgColor rgb="FF1C4587"/>
      </patternFill>
    </fill>
    <fill>
      <patternFill patternType="solid">
        <fgColor rgb="FFC9A227"/>
      </patternFill>
    </fill>
    <fill>
      <patternFill patternType="solid">
        <fgColor rgb="FF1A5276"/>
      </patternFill>
    </fill>
    <fill>
      <patternFill patternType="solid">
        <fgColor rgb="FF2F75B6"/>
      </patternFill>
    </fill>
    <fill>
      <patternFill patternType="solid">
        <fgColor rgb="FF922B21"/>
      </patternFill>
    </fill>
    <fill>
      <patternFill patternType="solid">
        <fgColor rgb="FFE67E22"/>
      </patternFill>
    </fill>
    <fill>
      <patternFill patternType="solid">
        <fgColor rgb="FF6C3483"/>
      </patternFill>
    </fill>
    <fill>
      <patternFill patternType="solid">
        <fgColor rgb="FF117A65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E8449"/>
      </patternFill>
    </fill>
    <fill>
      <patternFill patternType="solid">
        <fgColor rgb="FFD5E8D4"/>
      </patternFill>
    </fill>
    <fill>
      <patternFill patternType="solid">
        <fgColor rgb="FFFADBD8"/>
      </patternFill>
    </fill>
    <fill>
      <patternFill patternType="solid">
        <fgColor rgb="FFFFF2CC"/>
      </patternFill>
    </fill>
    <fill>
      <patternFill patternType="solid">
        <fgColor rgb="FFD1F2EB"/>
      </patternFill>
    </fill>
    <fill>
      <patternFill patternType="solid">
        <fgColor rgb="FFE8DAEF"/>
      </patternFill>
    </fill>
    <fill>
      <patternFill patternType="solid">
        <fgColor theme="7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59" fillId="0" borderId="0" applyFont="0" applyFill="0" applyBorder="0" applyAlignment="0" applyProtection="0"/>
  </cellStyleXfs>
  <cellXfs count="253">
    <xf numFmtId="0" fontId="0" fillId="0" borderId="0" xfId="0"/>
    <xf numFmtId="0" fontId="6" fillId="3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3" fontId="10" fillId="12" borderId="1" xfId="0" applyNumberFormat="1" applyFont="1" applyFill="1" applyBorder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3" fontId="10" fillId="13" borderId="1" xfId="0" applyNumberFormat="1" applyFont="1" applyFill="1" applyBorder="1" applyAlignment="1">
      <alignment horizontal="center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15" fillId="15" borderId="1" xfId="0" applyNumberFormat="1" applyFont="1" applyFill="1" applyBorder="1" applyAlignment="1">
      <alignment horizontal="center" vertical="center" wrapText="1"/>
    </xf>
    <xf numFmtId="3" fontId="15" fillId="15" borderId="1" xfId="0" applyNumberFormat="1" applyFont="1" applyFill="1" applyBorder="1" applyAlignment="1">
      <alignment horizontal="center" vertical="center" wrapText="1"/>
    </xf>
    <xf numFmtId="166" fontId="16" fillId="15" borderId="1" xfId="0" applyNumberFormat="1" applyFont="1" applyFill="1" applyBorder="1" applyAlignment="1">
      <alignment horizontal="center" vertical="center" wrapText="1"/>
    </xf>
    <xf numFmtId="4" fontId="15" fillId="13" borderId="1" xfId="0" applyNumberFormat="1" applyFont="1" applyFill="1" applyBorder="1" applyAlignment="1">
      <alignment horizontal="center" vertical="center" wrapText="1"/>
    </xf>
    <xf numFmtId="3" fontId="15" fillId="13" borderId="1" xfId="0" applyNumberFormat="1" applyFont="1" applyFill="1" applyBorder="1" applyAlignment="1">
      <alignment horizontal="center" vertical="center" wrapText="1"/>
    </xf>
    <xf numFmtId="166" fontId="16" fillId="13" borderId="1" xfId="0" applyNumberFormat="1" applyFont="1" applyFill="1" applyBorder="1" applyAlignment="1">
      <alignment horizontal="center" vertical="center" wrapText="1"/>
    </xf>
    <xf numFmtId="166" fontId="12" fillId="12" borderId="1" xfId="0" applyNumberFormat="1" applyFont="1" applyFill="1" applyBorder="1" applyAlignment="1">
      <alignment horizontal="center" vertical="center" wrapText="1"/>
    </xf>
    <xf numFmtId="166" fontId="19" fillId="13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166" fontId="19" fillId="12" borderId="1" xfId="0" applyNumberFormat="1" applyFont="1" applyFill="1" applyBorder="1" applyAlignment="1">
      <alignment horizontal="center" vertical="center" wrapText="1"/>
    </xf>
    <xf numFmtId="165" fontId="10" fillId="12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166" fontId="8" fillId="3" borderId="1" xfId="0" applyNumberFormat="1" applyFont="1" applyFill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0" fontId="9" fillId="17" borderId="1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left" vertical="center" wrapText="1"/>
    </xf>
    <xf numFmtId="3" fontId="15" fillId="12" borderId="1" xfId="0" applyNumberFormat="1" applyFont="1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4" fontId="16" fillId="12" borderId="1" xfId="0" applyNumberFormat="1" applyFont="1" applyFill="1" applyBorder="1" applyAlignment="1">
      <alignment horizontal="center" vertical="center" wrapText="1"/>
    </xf>
    <xf numFmtId="4" fontId="15" fillId="12" borderId="1" xfId="0" applyNumberFormat="1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3" fillId="13" borderId="1" xfId="0" applyFont="1" applyFill="1" applyBorder="1" applyAlignment="1">
      <alignment horizontal="left" vertical="center" wrapText="1"/>
    </xf>
    <xf numFmtId="3" fontId="4" fillId="13" borderId="1" xfId="0" applyNumberFormat="1" applyFont="1" applyFill="1" applyBorder="1" applyAlignment="1">
      <alignment horizontal="center" vertical="center" wrapText="1"/>
    </xf>
    <xf numFmtId="4" fontId="16" fillId="13" borderId="1" xfId="0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4" fontId="8" fillId="3" borderId="1" xfId="0" applyNumberFormat="1" applyFont="1" applyFill="1" applyBorder="1" applyAlignment="1">
      <alignment horizontal="center" vertical="center" wrapText="1"/>
    </xf>
    <xf numFmtId="0" fontId="14" fillId="18" borderId="1" xfId="0" applyFont="1" applyFill="1" applyBorder="1" applyAlignment="1">
      <alignment horizontal="center" vertical="center" wrapText="1"/>
    </xf>
    <xf numFmtId="0" fontId="14" fillId="13" borderId="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5" fillId="19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left" vertical="center" wrapText="1"/>
    </xf>
    <xf numFmtId="4" fontId="22" fillId="15" borderId="1" xfId="0" applyNumberFormat="1" applyFont="1" applyFill="1" applyBorder="1" applyAlignment="1">
      <alignment horizontal="center" vertical="center" wrapText="1"/>
    </xf>
    <xf numFmtId="0" fontId="28" fillId="15" borderId="1" xfId="0" applyFont="1" applyFill="1" applyBorder="1" applyAlignment="1">
      <alignment horizontal="center" vertical="center" wrapText="1"/>
    </xf>
    <xf numFmtId="164" fontId="16" fillId="15" borderId="1" xfId="0" applyNumberFormat="1" applyFont="1" applyFill="1" applyBorder="1" applyAlignment="1">
      <alignment horizontal="center" vertical="center" wrapText="1"/>
    </xf>
    <xf numFmtId="0" fontId="29" fillId="17" borderId="1" xfId="0" applyFont="1" applyFill="1" applyBorder="1" applyAlignment="1">
      <alignment horizontal="center" vertical="center" wrapText="1"/>
    </xf>
    <xf numFmtId="0" fontId="23" fillId="17" borderId="1" xfId="0" applyFont="1" applyFill="1" applyBorder="1" applyAlignment="1">
      <alignment horizontal="left" vertical="center" wrapText="1"/>
    </xf>
    <xf numFmtId="4" fontId="22" fillId="17" borderId="1" xfId="0" applyNumberFormat="1" applyFont="1" applyFill="1" applyBorder="1" applyAlignment="1">
      <alignment horizontal="center" vertical="center" wrapText="1"/>
    </xf>
    <xf numFmtId="3" fontId="15" fillId="17" borderId="1" xfId="0" applyNumberFormat="1" applyFont="1" applyFill="1" applyBorder="1" applyAlignment="1">
      <alignment horizontal="center" vertical="center" wrapText="1"/>
    </xf>
    <xf numFmtId="166" fontId="29" fillId="17" borderId="1" xfId="0" applyNumberFormat="1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164" fontId="16" fillId="17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4" fontId="22" fillId="13" borderId="1" xfId="0" applyNumberFormat="1" applyFont="1" applyFill="1" applyBorder="1" applyAlignment="1">
      <alignment horizontal="center" vertical="center" wrapText="1"/>
    </xf>
    <xf numFmtId="166" fontId="31" fillId="13" borderId="1" xfId="0" applyNumberFormat="1" applyFont="1" applyFill="1" applyBorder="1" applyAlignment="1">
      <alignment horizontal="center" vertical="center" wrapText="1"/>
    </xf>
    <xf numFmtId="0" fontId="24" fillId="13" borderId="1" xfId="0" applyFont="1" applyFill="1" applyBorder="1" applyAlignment="1">
      <alignment horizontal="center" vertical="center" wrapText="1"/>
    </xf>
    <xf numFmtId="164" fontId="16" fillId="13" borderId="1" xfId="0" applyNumberFormat="1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left" vertical="center" wrapText="1"/>
    </xf>
    <xf numFmtId="4" fontId="22" fillId="16" borderId="1" xfId="0" applyNumberFormat="1" applyFont="1" applyFill="1" applyBorder="1" applyAlignment="1">
      <alignment horizontal="center" vertical="center" wrapText="1"/>
    </xf>
    <xf numFmtId="3" fontId="15" fillId="16" borderId="1" xfId="0" applyNumberFormat="1" applyFont="1" applyFill="1" applyBorder="1" applyAlignment="1">
      <alignment horizontal="center" vertical="center" wrapText="1"/>
    </xf>
    <xf numFmtId="166" fontId="32" fillId="16" borderId="1" xfId="0" applyNumberFormat="1" applyFont="1" applyFill="1" applyBorder="1" applyAlignment="1">
      <alignment horizontal="center" vertical="center" wrapText="1"/>
    </xf>
    <xf numFmtId="0" fontId="33" fillId="16" borderId="1" xfId="0" applyFont="1" applyFill="1" applyBorder="1" applyAlignment="1">
      <alignment horizontal="center" vertical="center" wrapText="1"/>
    </xf>
    <xf numFmtId="164" fontId="16" fillId="16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left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34" fillId="19" borderId="1" xfId="0" applyFont="1" applyFill="1" applyBorder="1" applyAlignment="1">
      <alignment horizontal="left" vertical="center" wrapText="1"/>
    </xf>
    <xf numFmtId="0" fontId="34" fillId="13" borderId="1" xfId="0" applyFont="1" applyFill="1" applyBorder="1" applyAlignment="1">
      <alignment horizontal="left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6" fillId="19" borderId="1" xfId="0" applyFont="1" applyFill="1" applyBorder="1" applyAlignment="1">
      <alignment horizontal="left" vertical="center" wrapText="1"/>
    </xf>
    <xf numFmtId="3" fontId="35" fillId="19" borderId="1" xfId="0" applyNumberFormat="1" applyFont="1" applyFill="1" applyBorder="1" applyAlignment="1">
      <alignment horizontal="center" vertical="center" wrapText="1"/>
    </xf>
    <xf numFmtId="3" fontId="34" fillId="19" borderId="1" xfId="0" applyNumberFormat="1" applyFont="1" applyFill="1" applyBorder="1" applyAlignment="1">
      <alignment horizontal="center" vertical="center" wrapText="1"/>
    </xf>
    <xf numFmtId="3" fontId="12" fillId="16" borderId="1" xfId="0" applyNumberFormat="1" applyFont="1" applyFill="1" applyBorder="1" applyAlignment="1">
      <alignment horizontal="center" vertical="center" wrapText="1"/>
    </xf>
    <xf numFmtId="166" fontId="12" fillId="16" borderId="1" xfId="0" applyNumberFormat="1" applyFont="1" applyFill="1" applyBorder="1" applyAlignment="1">
      <alignment horizontal="center" vertical="center" wrapText="1"/>
    </xf>
    <xf numFmtId="0" fontId="36" fillId="13" borderId="1" xfId="0" applyFont="1" applyFill="1" applyBorder="1" applyAlignment="1">
      <alignment horizontal="left" vertical="center" wrapText="1"/>
    </xf>
    <xf numFmtId="167" fontId="35" fillId="13" borderId="1" xfId="0" applyNumberFormat="1" applyFont="1" applyFill="1" applyBorder="1" applyAlignment="1">
      <alignment horizontal="center" vertical="center" wrapText="1"/>
    </xf>
    <xf numFmtId="167" fontId="34" fillId="1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left" vertical="center" wrapText="1"/>
    </xf>
    <xf numFmtId="4" fontId="35" fillId="17" borderId="1" xfId="0" applyNumberFormat="1" applyFont="1" applyFill="1" applyBorder="1" applyAlignment="1">
      <alignment horizontal="center" vertical="center" wrapText="1"/>
    </xf>
    <xf numFmtId="4" fontId="34" fillId="17" borderId="1" xfId="0" applyNumberFormat="1" applyFont="1" applyFill="1" applyBorder="1" applyAlignment="1">
      <alignment horizontal="center" vertical="center" wrapText="1"/>
    </xf>
    <xf numFmtId="4" fontId="11" fillId="15" borderId="1" xfId="0" applyNumberFormat="1" applyFont="1" applyFill="1" applyBorder="1" applyAlignment="1">
      <alignment horizontal="center" vertical="center" wrapText="1"/>
    </xf>
    <xf numFmtId="166" fontId="11" fillId="15" borderId="1" xfId="0" applyNumberFormat="1" applyFont="1" applyFill="1" applyBorder="1" applyAlignment="1">
      <alignment horizontal="center" vertical="center" wrapText="1"/>
    </xf>
    <xf numFmtId="3" fontId="35" fillId="13" borderId="1" xfId="0" applyNumberFormat="1" applyFont="1" applyFill="1" applyBorder="1" applyAlignment="1">
      <alignment horizontal="center" vertical="center" wrapText="1"/>
    </xf>
    <xf numFmtId="3" fontId="34" fillId="13" borderId="1" xfId="0" applyNumberFormat="1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left" vertical="center" wrapText="1"/>
    </xf>
    <xf numFmtId="4" fontId="35" fillId="15" borderId="1" xfId="0" applyNumberFormat="1" applyFont="1" applyFill="1" applyBorder="1" applyAlignment="1">
      <alignment horizontal="center" vertical="center" wrapText="1"/>
    </xf>
    <xf numFmtId="4" fontId="34" fillId="15" borderId="1" xfId="0" applyNumberFormat="1" applyFont="1" applyFill="1" applyBorder="1" applyAlignment="1">
      <alignment horizontal="center" vertical="center" wrapText="1"/>
    </xf>
    <xf numFmtId="0" fontId="36" fillId="16" borderId="1" xfId="0" applyFont="1" applyFill="1" applyBorder="1" applyAlignment="1">
      <alignment horizontal="left" vertical="center" wrapText="1"/>
    </xf>
    <xf numFmtId="3" fontId="35" fillId="16" borderId="1" xfId="0" applyNumberFormat="1" applyFont="1" applyFill="1" applyBorder="1" applyAlignment="1">
      <alignment horizontal="center" vertical="center" wrapText="1"/>
    </xf>
    <xf numFmtId="3" fontId="34" fillId="16" borderId="1" xfId="0" applyNumberFormat="1" applyFont="1" applyFill="1" applyBorder="1" applyAlignment="1">
      <alignment horizontal="center" vertical="center" wrapText="1"/>
    </xf>
    <xf numFmtId="10" fontId="35" fillId="19" borderId="1" xfId="0" applyNumberFormat="1" applyFont="1" applyFill="1" applyBorder="1" applyAlignment="1">
      <alignment horizontal="center" vertical="center" wrapText="1"/>
    </xf>
    <xf numFmtId="10" fontId="34" fillId="19" borderId="1" xfId="0" applyNumberFormat="1" applyFont="1" applyFill="1" applyBorder="1" applyAlignment="1">
      <alignment horizontal="center" vertical="center" wrapText="1"/>
    </xf>
    <xf numFmtId="10" fontId="12" fillId="16" borderId="1" xfId="0" applyNumberFormat="1" applyFont="1" applyFill="1" applyBorder="1" applyAlignment="1">
      <alignment horizontal="center" vertical="center" wrapText="1"/>
    </xf>
    <xf numFmtId="10" fontId="35" fillId="13" borderId="1" xfId="0" applyNumberFormat="1" applyFont="1" applyFill="1" applyBorder="1" applyAlignment="1">
      <alignment horizontal="center" vertical="center" wrapText="1"/>
    </xf>
    <xf numFmtId="10" fontId="34" fillId="13" borderId="1" xfId="0" applyNumberFormat="1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9" fillId="13" borderId="1" xfId="0" applyFont="1" applyFill="1" applyBorder="1" applyAlignment="1">
      <alignment horizontal="center" vertical="center" wrapText="1"/>
    </xf>
    <xf numFmtId="0" fontId="9" fillId="19" borderId="1" xfId="0" applyFont="1" applyFill="1" applyBorder="1" applyAlignment="1">
      <alignment horizontal="center" vertical="center" wrapText="1"/>
    </xf>
    <xf numFmtId="3" fontId="39" fillId="12" borderId="1" xfId="0" applyNumberFormat="1" applyFont="1" applyFill="1" applyBorder="1" applyAlignment="1">
      <alignment horizontal="center" vertical="center" wrapText="1"/>
    </xf>
    <xf numFmtId="166" fontId="40" fillId="12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left" vertical="center" wrapText="1"/>
    </xf>
    <xf numFmtId="3" fontId="39" fillId="13" borderId="1" xfId="0" applyNumberFormat="1" applyFont="1" applyFill="1" applyBorder="1" applyAlignment="1">
      <alignment horizontal="center" vertical="center" wrapText="1"/>
    </xf>
    <xf numFmtId="166" fontId="40" fillId="13" borderId="1" xfId="0" applyNumberFormat="1" applyFont="1" applyFill="1" applyBorder="1" applyAlignment="1">
      <alignment horizontal="center" vertical="center" wrapText="1"/>
    </xf>
    <xf numFmtId="0" fontId="42" fillId="13" borderId="1" xfId="0" applyFont="1" applyFill="1" applyBorder="1" applyAlignment="1">
      <alignment horizontal="left" vertical="center" wrapText="1"/>
    </xf>
    <xf numFmtId="0" fontId="43" fillId="12" borderId="1" xfId="0" applyFont="1" applyFill="1" applyBorder="1" applyAlignment="1">
      <alignment horizontal="left" vertical="center" wrapText="1"/>
    </xf>
    <xf numFmtId="0" fontId="44" fillId="13" borderId="1" xfId="0" applyFont="1" applyFill="1" applyBorder="1" applyAlignment="1">
      <alignment horizontal="left" vertical="center" wrapText="1"/>
    </xf>
    <xf numFmtId="0" fontId="45" fillId="13" borderId="1" xfId="0" applyFont="1" applyFill="1" applyBorder="1" applyAlignment="1">
      <alignment horizontal="left" vertical="center" wrapText="1"/>
    </xf>
    <xf numFmtId="0" fontId="44" fillId="12" borderId="1" xfId="0" applyFont="1" applyFill="1" applyBorder="1" applyAlignment="1">
      <alignment horizontal="left" vertical="center" wrapText="1"/>
    </xf>
    <xf numFmtId="0" fontId="46" fillId="12" borderId="1" xfId="0" applyFont="1" applyFill="1" applyBorder="1" applyAlignment="1">
      <alignment horizontal="left" vertical="center" wrapText="1"/>
    </xf>
    <xf numFmtId="0" fontId="47" fillId="13" borderId="1" xfId="0" applyFont="1" applyFill="1" applyBorder="1" applyAlignment="1">
      <alignment horizontal="left" vertical="center" wrapText="1"/>
    </xf>
    <xf numFmtId="0" fontId="48" fillId="12" borderId="1" xfId="0" applyFont="1" applyFill="1" applyBorder="1" applyAlignment="1">
      <alignment horizontal="left" vertical="center" wrapText="1"/>
    </xf>
    <xf numFmtId="0" fontId="49" fillId="13" borderId="1" xfId="0" applyFont="1" applyFill="1" applyBorder="1" applyAlignment="1">
      <alignment horizontal="left" vertical="center" wrapText="1"/>
    </xf>
    <xf numFmtId="0" fontId="50" fillId="12" borderId="1" xfId="0" applyFont="1" applyFill="1" applyBorder="1" applyAlignment="1">
      <alignment horizontal="left" vertical="center" wrapText="1"/>
    </xf>
    <xf numFmtId="0" fontId="51" fillId="13" borderId="1" xfId="0" applyFont="1" applyFill="1" applyBorder="1" applyAlignment="1">
      <alignment horizontal="left" vertical="center" wrapText="1"/>
    </xf>
    <xf numFmtId="0" fontId="52" fillId="12" borderId="1" xfId="0" applyFont="1" applyFill="1" applyBorder="1" applyAlignment="1">
      <alignment horizontal="left" vertical="center" wrapText="1"/>
    </xf>
    <xf numFmtId="0" fontId="53" fillId="13" borderId="1" xfId="0" applyFont="1" applyFill="1" applyBorder="1" applyAlignment="1">
      <alignment horizontal="left" vertical="center" wrapText="1"/>
    </xf>
    <xf numFmtId="0" fontId="54" fillId="12" borderId="1" xfId="0" applyFont="1" applyFill="1" applyBorder="1" applyAlignment="1">
      <alignment horizontal="left" vertical="center" wrapText="1"/>
    </xf>
    <xf numFmtId="0" fontId="55" fillId="13" borderId="1" xfId="0" applyFont="1" applyFill="1" applyBorder="1" applyAlignment="1">
      <alignment horizontal="left" vertical="center" wrapText="1"/>
    </xf>
    <xf numFmtId="0" fontId="56" fillId="12" borderId="1" xfId="0" applyFont="1" applyFill="1" applyBorder="1" applyAlignment="1">
      <alignment horizontal="left" vertical="center" wrapText="1"/>
    </xf>
    <xf numFmtId="0" fontId="57" fillId="13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166" fontId="2" fillId="2" borderId="1" xfId="0" applyNumberFormat="1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15" fillId="17" borderId="1" xfId="0" applyFont="1" applyFill="1" applyBorder="1" applyAlignment="1">
      <alignment horizontal="center" vertical="center" wrapText="1"/>
    </xf>
    <xf numFmtId="166" fontId="16" fillId="17" borderId="1" xfId="0" applyNumberFormat="1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166" fontId="22" fillId="13" borderId="1" xfId="0" applyNumberFormat="1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0" fontId="58" fillId="12" borderId="1" xfId="0" applyFont="1" applyFill="1" applyBorder="1" applyAlignment="1">
      <alignment horizontal="center" vertical="center" wrapText="1"/>
    </xf>
    <xf numFmtId="4" fontId="39" fillId="13" borderId="1" xfId="0" applyNumberFormat="1" applyFont="1" applyFill="1" applyBorder="1" applyAlignment="1">
      <alignment horizontal="center" vertical="center" wrapText="1"/>
    </xf>
    <xf numFmtId="0" fontId="58" fillId="13" borderId="1" xfId="0" applyFont="1" applyFill="1" applyBorder="1" applyAlignment="1">
      <alignment horizontal="center" vertical="center" wrapText="1"/>
    </xf>
    <xf numFmtId="4" fontId="39" fillId="12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3" fontId="10" fillId="12" borderId="1" xfId="0" applyNumberFormat="1" applyFont="1" applyFill="1" applyBorder="1" applyAlignment="1">
      <alignment horizontal="center" vertical="center" wrapText="1"/>
    </xf>
    <xf numFmtId="3" fontId="11" fillId="13" borderId="1" xfId="0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left" vertical="center" wrapText="1"/>
    </xf>
    <xf numFmtId="166" fontId="10" fillId="13" borderId="1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0" fillId="0" borderId="0" xfId="0"/>
    <xf numFmtId="0" fontId="0" fillId="7" borderId="0" xfId="0" applyFill="1"/>
    <xf numFmtId="164" fontId="7" fillId="8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9" fillId="13" borderId="1" xfId="0" applyFont="1" applyFill="1" applyBorder="1" applyAlignment="1">
      <alignment horizontal="left" vertical="center" wrapText="1"/>
    </xf>
    <xf numFmtId="0" fontId="5" fillId="5" borderId="0" xfId="0" applyFont="1" applyFill="1" applyAlignment="1">
      <alignment horizontal="center" vertical="center" wrapText="1"/>
    </xf>
    <xf numFmtId="0" fontId="0" fillId="8" borderId="0" xfId="0" applyFill="1"/>
    <xf numFmtId="4" fontId="1" fillId="3" borderId="0" xfId="0" applyNumberFormat="1" applyFont="1" applyFill="1" applyAlignment="1">
      <alignment horizontal="center" vertical="center" wrapText="1"/>
    </xf>
    <xf numFmtId="3" fontId="12" fillId="13" borderId="1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3" fontId="10" fillId="13" borderId="1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166" fontId="10" fillId="12" borderId="1" xfId="0" applyNumberFormat="1" applyFont="1" applyFill="1" applyBorder="1" applyAlignment="1">
      <alignment horizontal="center" vertical="center" wrapText="1"/>
    </xf>
    <xf numFmtId="0" fontId="6" fillId="10" borderId="0" xfId="0" applyFont="1" applyFill="1" applyAlignment="1">
      <alignment horizontal="center" vertical="center" wrapText="1"/>
    </xf>
    <xf numFmtId="0" fontId="6" fillId="11" borderId="0" xfId="0" applyFont="1" applyFill="1" applyAlignment="1">
      <alignment horizontal="center" vertical="center" wrapText="1"/>
    </xf>
    <xf numFmtId="3" fontId="11" fillId="12" borderId="1" xfId="0" applyNumberFormat="1" applyFont="1" applyFill="1" applyBorder="1" applyAlignment="1">
      <alignment horizontal="center" vertical="center" wrapText="1"/>
    </xf>
    <xf numFmtId="0" fontId="14" fillId="15" borderId="1" xfId="0" applyFont="1" applyFill="1" applyBorder="1" applyAlignment="1">
      <alignment horizontal="left" vertical="center" wrapText="1"/>
    </xf>
    <xf numFmtId="0" fontId="0" fillId="3" borderId="0" xfId="0" applyFill="1"/>
    <xf numFmtId="0" fontId="4" fillId="2" borderId="0" xfId="0" applyFont="1" applyFill="1" applyAlignment="1">
      <alignment horizontal="center" vertical="center" wrapText="1"/>
    </xf>
    <xf numFmtId="165" fontId="7" fillId="10" borderId="0" xfId="0" applyNumberFormat="1" applyFont="1" applyFill="1" applyAlignment="1">
      <alignment horizontal="center" vertical="center" wrapText="1"/>
    </xf>
    <xf numFmtId="3" fontId="7" fillId="11" borderId="0" xfId="0" applyNumberFormat="1" applyFont="1" applyFill="1" applyAlignment="1">
      <alignment horizontal="center" vertical="center" wrapText="1"/>
    </xf>
    <xf numFmtId="0" fontId="0" fillId="10" borderId="0" xfId="0" applyFill="1"/>
    <xf numFmtId="3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0" fillId="2" borderId="0" xfId="0" applyFill="1"/>
    <xf numFmtId="165" fontId="7" fillId="9" borderId="0" xfId="0" applyNumberFormat="1" applyFont="1" applyFill="1" applyAlignment="1">
      <alignment horizontal="center" vertical="center" wrapText="1"/>
    </xf>
    <xf numFmtId="0" fontId="13" fillId="1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0" fillId="9" borderId="0" xfId="0" applyFill="1"/>
    <xf numFmtId="0" fontId="14" fillId="13" borderId="1" xfId="0" applyFont="1" applyFill="1" applyBorder="1" applyAlignment="1">
      <alignment horizontal="left" vertical="center" wrapText="1"/>
    </xf>
    <xf numFmtId="0" fontId="0" fillId="11" borderId="0" xfId="0" applyFill="1"/>
    <xf numFmtId="164" fontId="7" fillId="10" borderId="0" xfId="0" applyNumberFormat="1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4" fontId="1" fillId="6" borderId="0" xfId="0" applyNumberFormat="1" applyFont="1" applyFill="1" applyAlignment="1">
      <alignment horizontal="center" vertical="center" wrapText="1"/>
    </xf>
    <xf numFmtId="164" fontId="1" fillId="7" borderId="0" xfId="0" applyNumberFormat="1" applyFont="1" applyFill="1" applyAlignment="1">
      <alignment horizontal="center" vertical="center" wrapText="1"/>
    </xf>
    <xf numFmtId="0" fontId="0" fillId="0" borderId="3" xfId="0" applyBorder="1"/>
    <xf numFmtId="0" fontId="21" fillId="16" borderId="1" xfId="0" applyFont="1" applyFill="1" applyBorder="1" applyAlignment="1">
      <alignment horizontal="left" vertical="center" wrapText="1"/>
    </xf>
    <xf numFmtId="0" fontId="21" fillId="13" borderId="1" xfId="0" applyFont="1" applyFill="1" applyBorder="1" applyAlignment="1">
      <alignment horizontal="left"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21" fillId="17" borderId="1" xfId="0" applyFont="1" applyFill="1" applyBorder="1" applyAlignment="1">
      <alignment horizontal="left" vertical="center" wrapText="1"/>
    </xf>
    <xf numFmtId="0" fontId="18" fillId="2" borderId="0" xfId="0" applyFont="1" applyFill="1" applyAlignment="1">
      <alignment horizontal="center" vertical="center" wrapText="1"/>
    </xf>
    <xf numFmtId="0" fontId="21" fillId="12" borderId="1" xfId="0" applyFont="1" applyFill="1" applyBorder="1" applyAlignment="1">
      <alignment horizontal="left" vertical="center" wrapText="1"/>
    </xf>
    <xf numFmtId="166" fontId="24" fillId="13" borderId="1" xfId="0" applyNumberFormat="1" applyFont="1" applyFill="1" applyBorder="1" applyAlignment="1">
      <alignment horizontal="center" vertical="center" wrapText="1"/>
    </xf>
    <xf numFmtId="4" fontId="18" fillId="3" borderId="0" xfId="0" applyNumberFormat="1" applyFont="1" applyFill="1" applyAlignment="1">
      <alignment horizontal="center" vertical="center" wrapText="1"/>
    </xf>
    <xf numFmtId="0" fontId="23" fillId="13" borderId="1" xfId="0" applyFont="1" applyFill="1" applyBorder="1" applyAlignment="1">
      <alignment horizontal="left" vertical="center" wrapText="1"/>
    </xf>
    <xf numFmtId="3" fontId="15" fillId="18" borderId="1" xfId="0" applyNumberFormat="1" applyFont="1" applyFill="1" applyBorder="1" applyAlignment="1">
      <alignment horizontal="center" vertical="center" wrapText="1"/>
    </xf>
    <xf numFmtId="166" fontId="24" fillId="18" borderId="1" xfId="0" applyNumberFormat="1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3" fontId="15" fillId="13" borderId="1" xfId="0" applyNumberFormat="1" applyFont="1" applyFill="1" applyBorder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25" fillId="19" borderId="1" xfId="0" applyFont="1" applyFill="1" applyBorder="1" applyAlignment="1">
      <alignment horizontal="left" vertical="center" wrapText="1"/>
    </xf>
    <xf numFmtId="0" fontId="6" fillId="14" borderId="0" xfId="0" applyFont="1" applyFill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3" fontId="25" fillId="19" borderId="1" xfId="0" applyNumberFormat="1" applyFont="1" applyFill="1" applyBorder="1" applyAlignment="1">
      <alignment horizontal="center" vertical="center" wrapText="1"/>
    </xf>
    <xf numFmtId="0" fontId="23" fillId="18" borderId="1" xfId="0" applyFont="1" applyFill="1" applyBorder="1" applyAlignment="1">
      <alignment horizontal="left" vertical="center" wrapText="1"/>
    </xf>
    <xf numFmtId="0" fontId="0" fillId="5" borderId="0" xfId="0" applyFill="1"/>
    <xf numFmtId="166" fontId="2" fillId="3" borderId="1" xfId="0" applyNumberFormat="1" applyFont="1" applyFill="1" applyBorder="1" applyAlignment="1">
      <alignment horizontal="center" vertical="center" wrapText="1"/>
    </xf>
    <xf numFmtId="4" fontId="18" fillId="7" borderId="0" xfId="0" applyNumberFormat="1" applyFont="1" applyFill="1" applyAlignment="1">
      <alignment horizontal="center" vertical="center" wrapText="1"/>
    </xf>
    <xf numFmtId="164" fontId="18" fillId="14" borderId="0" xfId="0" applyNumberFormat="1" applyFont="1" applyFill="1" applyAlignment="1">
      <alignment horizontal="center" vertical="center" wrapText="1"/>
    </xf>
    <xf numFmtId="164" fontId="18" fillId="11" borderId="0" xfId="0" applyNumberFormat="1" applyFont="1" applyFill="1" applyAlignment="1">
      <alignment horizontal="center" vertical="center" wrapText="1"/>
    </xf>
    <xf numFmtId="3" fontId="8" fillId="3" borderId="1" xfId="0" applyNumberFormat="1" applyFont="1" applyFill="1" applyBorder="1" applyAlignment="1">
      <alignment horizontal="center" vertical="center" wrapText="1"/>
    </xf>
    <xf numFmtId="166" fontId="15" fillId="12" borderId="1" xfId="0" applyNumberFormat="1" applyFont="1" applyFill="1" applyBorder="1" applyAlignment="1">
      <alignment horizontal="center" vertical="center" wrapText="1"/>
    </xf>
    <xf numFmtId="4" fontId="18" fillId="14" borderId="0" xfId="0" applyNumberFormat="1" applyFont="1" applyFill="1" applyAlignment="1">
      <alignment horizontal="center" vertical="center" wrapText="1"/>
    </xf>
    <xf numFmtId="4" fontId="26" fillId="14" borderId="0" xfId="0" applyNumberFormat="1" applyFont="1" applyFill="1" applyAlignment="1">
      <alignment horizontal="center" vertical="center" wrapText="1"/>
    </xf>
    <xf numFmtId="0" fontId="26" fillId="14" borderId="0" xfId="0" applyFont="1" applyFill="1" applyAlignment="1">
      <alignment horizontal="center" vertical="center" wrapText="1"/>
    </xf>
    <xf numFmtId="166" fontId="26" fillId="9" borderId="0" xfId="0" applyNumberFormat="1" applyFont="1" applyFill="1" applyAlignment="1">
      <alignment horizontal="center" vertical="center" wrapText="1"/>
    </xf>
    <xf numFmtId="3" fontId="27" fillId="3" borderId="0" xfId="0" applyNumberFormat="1" applyFont="1" applyFill="1" applyAlignment="1">
      <alignment horizontal="center" vertical="center" wrapText="1"/>
    </xf>
    <xf numFmtId="4" fontId="26" fillId="7" borderId="0" xfId="0" applyNumberFormat="1" applyFont="1" applyFill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5" fillId="19" borderId="1" xfId="0" applyFont="1" applyFill="1" applyBorder="1" applyAlignment="1">
      <alignment horizontal="left" vertical="center" wrapText="1"/>
    </xf>
    <xf numFmtId="0" fontId="6" fillId="14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7" fillId="13" borderId="1" xfId="0" applyFont="1" applyFill="1" applyBorder="1" applyAlignment="1">
      <alignment horizontal="left" vertical="center" wrapText="1"/>
    </xf>
    <xf numFmtId="0" fontId="13" fillId="10" borderId="0" xfId="0" applyFont="1" applyFill="1" applyAlignment="1">
      <alignment horizontal="center" vertical="center" wrapText="1"/>
    </xf>
    <xf numFmtId="0" fontId="35" fillId="13" borderId="1" xfId="0" applyFont="1" applyFill="1" applyBorder="1" applyAlignment="1">
      <alignment horizontal="left" vertical="center" wrapText="1"/>
    </xf>
    <xf numFmtId="0" fontId="37" fillId="19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164" fontId="27" fillId="8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164" fontId="27" fillId="3" borderId="0" xfId="0" applyNumberFormat="1" applyFont="1" applyFill="1" applyAlignment="1">
      <alignment horizontal="center" vertical="center" wrapText="1"/>
    </xf>
    <xf numFmtId="0" fontId="38" fillId="8" borderId="0" xfId="0" applyFont="1" applyFill="1" applyAlignment="1">
      <alignment horizontal="center" vertical="center" wrapText="1"/>
    </xf>
    <xf numFmtId="0" fontId="13" fillId="8" borderId="0" xfId="0" applyFont="1" applyFill="1" applyAlignment="1">
      <alignment horizontal="center" vertical="center" wrapText="1"/>
    </xf>
    <xf numFmtId="164" fontId="27" fillId="2" borderId="0" xfId="0" applyNumberFormat="1" applyFont="1" applyFill="1" applyAlignment="1">
      <alignment horizontal="center" vertical="center" wrapText="1"/>
    </xf>
    <xf numFmtId="0" fontId="6" fillId="20" borderId="0" xfId="0" applyFont="1" applyFill="1" applyAlignment="1">
      <alignment horizontal="center" vertical="center" wrapText="1"/>
    </xf>
    <xf numFmtId="0" fontId="0" fillId="20" borderId="0" xfId="0" applyFill="1"/>
    <xf numFmtId="4" fontId="18" fillId="20" borderId="0" xfId="0" applyNumberFormat="1" applyFont="1" applyFill="1" applyAlignment="1">
      <alignment horizontal="center" vertical="center" wrapText="1"/>
    </xf>
    <xf numFmtId="166" fontId="18" fillId="20" borderId="0" xfId="0" applyNumberFormat="1" applyFont="1" applyFill="1" applyAlignment="1">
      <alignment horizontal="center" vertical="center" wrapText="1"/>
    </xf>
    <xf numFmtId="165" fontId="27" fillId="20" borderId="0" xfId="0" applyNumberFormat="1" applyFont="1" applyFill="1" applyAlignment="1">
      <alignment horizontal="center" vertical="center" wrapText="1"/>
    </xf>
    <xf numFmtId="169" fontId="0" fillId="0" borderId="0" xfId="1" applyNumberFormat="1" applyFont="1"/>
    <xf numFmtId="0" fontId="60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Producción Mensual 2026 (Toneladas)</a:t>
            </a:r>
          </a:p>
        </c:rich>
      </c:tx>
      <c:layout>
        <c:manualLayout>
          <c:xMode val="edge"/>
          <c:yMode val="edge"/>
          <c:x val="0.36840984848484853"/>
          <c:y val="3.5277777777777776E-2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DASHBOARD!$P$17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rgbClr val="2F75B6"/>
            </a:solidFill>
            <a:ln>
              <a:solidFill>
                <a:srgbClr val="1F3864"/>
              </a:solidFill>
              <a:prstDash val="solid"/>
            </a:ln>
          </c:spPr>
          <c:invertIfNegative val="1"/>
          <c:cat>
            <c:strRef>
              <c:f>DASHBOARD!$O$18:$O$22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DASHBOARD!$P$18:$P$22</c:f>
              <c:numCache>
                <c:formatCode>General</c:formatCode>
                <c:ptCount val="5"/>
                <c:pt idx="0">
                  <c:v>1698</c:v>
                </c:pt>
                <c:pt idx="1">
                  <c:v>1894</c:v>
                </c:pt>
                <c:pt idx="2">
                  <c:v>2000</c:v>
                </c:pt>
                <c:pt idx="3">
                  <c:v>1800</c:v>
                </c:pt>
                <c:pt idx="4">
                  <c:v>1927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1F3864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AD2-401A-97CA-5598A0D674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Toneladas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Tendencia de Producción – Enero a Mayo 2026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'PRODUCCION MENSUAL'!$L$6</c:f>
              <c:strCache>
                <c:ptCount val="1"/>
                <c:pt idx="0">
                  <c:v>Produccion</c:v>
                </c:pt>
              </c:strCache>
            </c:strRef>
          </c:tx>
          <c:spPr>
            <a:ln w="25000">
              <a:solidFill>
                <a:srgbClr val="C9A227"/>
              </a:solidFill>
              <a:prstDash val="solid"/>
            </a:ln>
          </c:spPr>
          <c:marker>
            <c:symbol val="circle"/>
            <c:size val="8"/>
            <c:spPr>
              <a:ln>
                <a:prstDash val="solid"/>
              </a:ln>
            </c:spPr>
          </c:marker>
          <c:cat>
            <c:strRef>
              <c:f>'PRODUCCION MENSUAL'!$K$7:$K$11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'PRODUCCION MENSUAL'!$L$7:$L$11</c:f>
              <c:numCache>
                <c:formatCode>General</c:formatCode>
                <c:ptCount val="5"/>
                <c:pt idx="0">
                  <c:v>1698</c:v>
                </c:pt>
                <c:pt idx="1">
                  <c:v>1894</c:v>
                </c:pt>
                <c:pt idx="2">
                  <c:v>2000</c:v>
                </c:pt>
                <c:pt idx="3">
                  <c:v>1800</c:v>
                </c:pt>
                <c:pt idx="4">
                  <c:v>1927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9B3-41A0-B4C2-4192B77BE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Mes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Toneladas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% Ausencias por Mes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'PRODUCCION MENSUAL'!$M$6</c:f>
              <c:strCache>
                <c:ptCount val="1"/>
                <c:pt idx="0">
                  <c:v>Ausencias %</c:v>
                </c:pt>
              </c:strCache>
            </c:strRef>
          </c:tx>
          <c:spPr>
            <a:solidFill>
              <a:srgbClr val="922B21"/>
            </a:solidFill>
            <a:ln>
              <a:prstDash val="solid"/>
            </a:ln>
          </c:spPr>
          <c:invertIfNegative val="1"/>
          <c:cat>
            <c:strRef>
              <c:f>'PRODUCCION MENSUAL'!$K$7:$K$11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</c:strCache>
            </c:strRef>
          </c:cat>
          <c:val>
            <c:numRef>
              <c:f>'PRODUCCION MENSUAL'!$M$7:$M$11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19</c:v>
                </c:pt>
                <c:pt idx="3">
                  <c:v>23</c:v>
                </c:pt>
                <c:pt idx="4">
                  <c:v>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AE7-404F-A4D5-EEF4C1AB5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Top 15 – Productividad en Toneladas (Mayo 2026)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'RANKING PRODUCTIVIDAD'!$L$10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rgbClr val="C9A227"/>
            </a:solidFill>
            <a:ln>
              <a:prstDash val="solid"/>
            </a:ln>
          </c:spPr>
          <c:invertIfNegative val="1"/>
          <c:cat>
            <c:strRef>
              <c:f>'RANKING PRODUCTIVIDAD'!$K$11:$K$25</c:f>
              <c:strCache>
                <c:ptCount val="15"/>
                <c:pt idx="0">
                  <c:v>MOLINA NILSON</c:v>
                </c:pt>
                <c:pt idx="1">
                  <c:v>PATIÑO JAIRO</c:v>
                </c:pt>
                <c:pt idx="2">
                  <c:v>MORENO WILFER</c:v>
                </c:pt>
                <c:pt idx="3">
                  <c:v>BARRIOS LUIS</c:v>
                </c:pt>
                <c:pt idx="4">
                  <c:v>OROPEZA DUMAR</c:v>
                </c:pt>
                <c:pt idx="5">
                  <c:v>SERRANO JOSE</c:v>
                </c:pt>
                <c:pt idx="6">
                  <c:v>PATIÑO MARTIN</c:v>
                </c:pt>
                <c:pt idx="7">
                  <c:v>GONZALEZ FERNANDO</c:v>
                </c:pt>
                <c:pt idx="8">
                  <c:v>RODRIGUEZ JOSE LUIS</c:v>
                </c:pt>
                <c:pt idx="9">
                  <c:v>ESCOBAR DISNEY</c:v>
                </c:pt>
                <c:pt idx="10">
                  <c:v>MUÑOZ YORFAN</c:v>
                </c:pt>
                <c:pt idx="11">
                  <c:v>GONZALEZ CARLOS</c:v>
                </c:pt>
                <c:pt idx="12">
                  <c:v>SAAVEDRA JOSE ALI</c:v>
                </c:pt>
                <c:pt idx="13">
                  <c:v>ROJAS WILMER</c:v>
                </c:pt>
                <c:pt idx="14">
                  <c:v>BENAVIDES CARLOS</c:v>
                </c:pt>
              </c:strCache>
            </c:strRef>
          </c:cat>
          <c:val>
            <c:numRef>
              <c:f>'RANKING PRODUCTIVIDAD'!$L$11:$L$25</c:f>
              <c:numCache>
                <c:formatCode>General</c:formatCode>
                <c:ptCount val="15"/>
                <c:pt idx="0">
                  <c:v>82.49</c:v>
                </c:pt>
                <c:pt idx="1">
                  <c:v>80.75</c:v>
                </c:pt>
                <c:pt idx="2">
                  <c:v>75.41</c:v>
                </c:pt>
                <c:pt idx="3">
                  <c:v>73.41</c:v>
                </c:pt>
                <c:pt idx="4">
                  <c:v>70.25</c:v>
                </c:pt>
                <c:pt idx="5">
                  <c:v>67.41</c:v>
                </c:pt>
                <c:pt idx="6">
                  <c:v>66.66</c:v>
                </c:pt>
                <c:pt idx="7">
                  <c:v>64.180000000000007</c:v>
                </c:pt>
                <c:pt idx="8">
                  <c:v>59.04</c:v>
                </c:pt>
                <c:pt idx="9">
                  <c:v>53.53</c:v>
                </c:pt>
                <c:pt idx="10">
                  <c:v>53.05</c:v>
                </c:pt>
                <c:pt idx="11">
                  <c:v>50.57</c:v>
                </c:pt>
                <c:pt idx="12">
                  <c:v>50.53</c:v>
                </c:pt>
                <c:pt idx="13">
                  <c:v>50.36</c:v>
                </c:pt>
                <c:pt idx="14">
                  <c:v>48.15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D31-4E35-BE16-D017AA07D8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Toneladas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CO"/>
                  <a:t>Trabajador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Retro: Producción vs Ton/Hora por Quincena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'RETRO - PRODUCTIVIDAD'!$L$14</c:f>
              <c:strCache>
                <c:ptCount val="1"/>
                <c:pt idx="0">
                  <c:v>Toneladas</c:v>
                </c:pt>
              </c:strCache>
            </c:strRef>
          </c:tx>
          <c:spPr>
            <a:solidFill>
              <a:srgbClr val="6C3483"/>
            </a:solidFill>
            <a:ln>
              <a:prstDash val="solid"/>
            </a:ln>
          </c:spPr>
          <c:invertIfNegative val="1"/>
          <c:cat>
            <c:strRef>
              <c:f>'RETRO - PRODUCTIVIDAD'!$K$15:$K$16</c:f>
              <c:strCache>
                <c:ptCount val="2"/>
                <c:pt idx="0">
                  <c:v>1ra Quincena</c:v>
                </c:pt>
                <c:pt idx="1">
                  <c:v>2da Quincena</c:v>
                </c:pt>
              </c:strCache>
            </c:strRef>
          </c:cat>
          <c:val>
            <c:numRef>
              <c:f>'RETRO - PRODUCTIVIDAD'!$L$15:$L$16</c:f>
              <c:numCache>
                <c:formatCode>General</c:formatCode>
                <c:ptCount val="2"/>
                <c:pt idx="0">
                  <c:v>933.82</c:v>
                </c:pt>
                <c:pt idx="1">
                  <c:v>1116.9000000000001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853-4225-9F09-B8CFC8008797}"/>
            </c:ext>
          </c:extLst>
        </c:ser>
        <c:ser>
          <c:idx val="1"/>
          <c:order val="1"/>
          <c:tx>
            <c:strRef>
              <c:f>'RETRO - PRODUCTIVIDAD'!$M$14</c:f>
              <c:strCache>
                <c:ptCount val="1"/>
                <c:pt idx="0">
                  <c:v>Ton/Hora</c:v>
                </c:pt>
              </c:strCache>
            </c:strRef>
          </c:tx>
          <c:spPr>
            <a:solidFill>
              <a:srgbClr val="C9A227"/>
            </a:solidFill>
            <a:ln>
              <a:prstDash val="solid"/>
            </a:ln>
          </c:spPr>
          <c:invertIfNegative val="1"/>
          <c:cat>
            <c:strRef>
              <c:f>'RETRO - PRODUCTIVIDAD'!$K$15:$K$16</c:f>
              <c:strCache>
                <c:ptCount val="2"/>
                <c:pt idx="0">
                  <c:v>1ra Quincena</c:v>
                </c:pt>
                <c:pt idx="1">
                  <c:v>2da Quincena</c:v>
                </c:pt>
              </c:strCache>
            </c:strRef>
          </c:cat>
          <c:val>
            <c:numRef>
              <c:f>'RETRO - PRODUCTIVIDAD'!$M$15:$M$16</c:f>
              <c:numCache>
                <c:formatCode>General</c:formatCode>
                <c:ptCount val="2"/>
                <c:pt idx="0">
                  <c:v>3.890916666666667</c:v>
                </c:pt>
                <c:pt idx="1">
                  <c:v>4.6537499999999996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853-4225-9F09-B8CFC8008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s-CO"/>
              <a:t>Distribución de Costos – Mayo 2026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'COSTOS OPERATIVOS'!$J$11</c:f>
              <c:strCache>
                <c:ptCount val="1"/>
                <c:pt idx="0">
                  <c:v>Valor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s-CO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70671378091872"/>
                      <c:h val="0.1140939597315436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94B-4F66-93B3-B232E81EB540}"/>
                </c:ext>
              </c:extLst>
            </c:dLbl>
            <c:dLbl>
              <c:idx val="4"/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468197879858657"/>
                      <c:h val="9.312080536912752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94B-4F66-93B3-B232E81EB540}"/>
                </c:ext>
              </c:extLst>
            </c:dLbl>
            <c:spPr>
              <a:noFill/>
              <a:ln>
                <a:noFill/>
              </a:ln>
              <a:effectLst/>
            </c:sp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'COSTOS OPERATIVOS'!$I$12:$I$18</c:f>
              <c:strCache>
                <c:ptCount val="7"/>
                <c:pt idx="0">
                  <c:v>PICADA</c:v>
                </c:pt>
                <c:pt idx="1">
                  <c:v>ALEMANA</c:v>
                </c:pt>
                <c:pt idx="2">
                  <c:v>ALIMENTACIÓN</c:v>
                </c:pt>
                <c:pt idx="3">
                  <c:v>DOMINICALES</c:v>
                </c:pt>
                <c:pt idx="4">
                  <c:v>GUAYADOS</c:v>
                </c:pt>
                <c:pt idx="5">
                  <c:v>VENTANA</c:v>
                </c:pt>
                <c:pt idx="6">
                  <c:v>SOPORTE OPER.</c:v>
                </c:pt>
              </c:strCache>
            </c:strRef>
          </c:cat>
          <c:val>
            <c:numRef>
              <c:f>'COSTOS OPERATIVOS'!$J$12:$J$18</c:f>
              <c:numCache>
                <c:formatCode>_-"$"\ * #,##0_-;\-"$"\ * #,##0_-;_-"$"\ * "-"??_-;_-@_-</c:formatCode>
                <c:ptCount val="7"/>
                <c:pt idx="0">
                  <c:v>63934305</c:v>
                </c:pt>
                <c:pt idx="1">
                  <c:v>10412790</c:v>
                </c:pt>
                <c:pt idx="2">
                  <c:v>15487750</c:v>
                </c:pt>
                <c:pt idx="3">
                  <c:v>15000000</c:v>
                </c:pt>
                <c:pt idx="4">
                  <c:v>6730000</c:v>
                </c:pt>
                <c:pt idx="5">
                  <c:v>4900000</c:v>
                </c:pt>
                <c:pt idx="6">
                  <c:v>14859547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4B-4F66-93B3-B232E81EB54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44450</xdr:colOff>
      <xdr:row>23</xdr:row>
      <xdr:rowOff>25400</xdr:rowOff>
    </xdr:from>
    <xdr:ext cx="6191250" cy="349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</xdr:row>
      <xdr:rowOff>0</xdr:rowOff>
    </xdr:from>
    <xdr:ext cx="7607300" cy="33083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495300</xdr:colOff>
      <xdr:row>13</xdr:row>
      <xdr:rowOff>31750</xdr:rowOff>
    </xdr:from>
    <xdr:ext cx="4304400" cy="32385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9404350" cy="4927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31</xdr:row>
      <xdr:rowOff>0</xdr:rowOff>
    </xdr:from>
    <xdr:ext cx="6959600" cy="3492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</xdr:row>
      <xdr:rowOff>165100</xdr:rowOff>
    </xdr:from>
    <xdr:ext cx="7188200" cy="3784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44"/>
  <sheetViews>
    <sheetView showGridLines="0" tabSelected="1" workbookViewId="0">
      <selection activeCell="H23" sqref="H23"/>
    </sheetView>
  </sheetViews>
  <sheetFormatPr baseColWidth="10" defaultColWidth="8.7265625" defaultRowHeight="14.5" x14ac:dyDescent="0.35"/>
  <cols>
    <col min="1" max="1" width="3" customWidth="1"/>
    <col min="2" max="2" width="20" customWidth="1"/>
    <col min="3" max="12" width="14" customWidth="1"/>
    <col min="15" max="16" width="12" customWidth="1"/>
  </cols>
  <sheetData>
    <row r="1" spans="2:12" ht="6" customHeight="1" x14ac:dyDescent="0.35"/>
    <row r="2" spans="2:12" ht="50" customHeight="1" x14ac:dyDescent="0.35">
      <c r="B2" s="181" t="s">
        <v>0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2:12" ht="20" customHeight="1" x14ac:dyDescent="0.35">
      <c r="B3" s="166" t="s">
        <v>1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2:12" ht="8" customHeight="1" x14ac:dyDescent="0.35"/>
    <row r="5" spans="2:12" ht="28" customHeight="1" x14ac:dyDescent="0.35">
      <c r="B5" s="187" t="s">
        <v>2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</row>
    <row r="6" spans="2:12" ht="38" customHeight="1" x14ac:dyDescent="0.35">
      <c r="B6" s="176" t="s">
        <v>3</v>
      </c>
      <c r="C6" s="155"/>
      <c r="D6" s="158" t="s">
        <v>4</v>
      </c>
      <c r="E6" s="155"/>
      <c r="F6" s="158" t="s">
        <v>5</v>
      </c>
      <c r="G6" s="155"/>
      <c r="H6" s="192" t="s">
        <v>6</v>
      </c>
      <c r="I6" s="155"/>
      <c r="J6" s="193" t="s">
        <v>7</v>
      </c>
      <c r="K6" s="155"/>
    </row>
    <row r="7" spans="2:12" ht="48" customHeight="1" x14ac:dyDescent="0.35">
      <c r="B7" s="180">
        <v>1927</v>
      </c>
      <c r="C7" s="155"/>
      <c r="D7" s="162">
        <v>933.82</v>
      </c>
      <c r="E7" s="155"/>
      <c r="F7" s="162">
        <v>1116.9000000000001</v>
      </c>
      <c r="G7" s="155"/>
      <c r="H7" s="194">
        <v>1078.45</v>
      </c>
      <c r="I7" s="155"/>
      <c r="J7" s="195">
        <v>119805301.78</v>
      </c>
      <c r="K7" s="155"/>
    </row>
    <row r="8" spans="2:12" ht="22" customHeight="1" x14ac:dyDescent="0.35">
      <c r="B8" s="160" t="s">
        <v>8</v>
      </c>
      <c r="C8" s="155"/>
      <c r="D8" s="160" t="s">
        <v>8</v>
      </c>
      <c r="E8" s="155"/>
      <c r="F8" s="160" t="s">
        <v>8</v>
      </c>
      <c r="G8" s="155"/>
      <c r="H8" s="160" t="s">
        <v>8</v>
      </c>
      <c r="I8" s="155"/>
      <c r="J8" s="160" t="s">
        <v>9</v>
      </c>
      <c r="K8" s="155"/>
    </row>
    <row r="9" spans="2:12" ht="12" customHeight="1" x14ac:dyDescent="0.35">
      <c r="B9" s="184"/>
      <c r="C9" s="155"/>
      <c r="D9" s="175"/>
      <c r="E9" s="155"/>
      <c r="F9" s="175"/>
      <c r="G9" s="155"/>
      <c r="H9" s="154"/>
      <c r="I9" s="155"/>
      <c r="J9" s="156"/>
      <c r="K9" s="155"/>
    </row>
    <row r="10" spans="2:12" ht="8" customHeight="1" x14ac:dyDescent="0.35"/>
    <row r="11" spans="2:12" ht="38" customHeight="1" x14ac:dyDescent="0.35">
      <c r="B11" s="168" t="s">
        <v>10</v>
      </c>
      <c r="C11" s="155"/>
      <c r="D11" s="169" t="s">
        <v>11</v>
      </c>
      <c r="E11" s="155"/>
      <c r="F11" s="171" t="s">
        <v>12</v>
      </c>
      <c r="G11" s="155"/>
      <c r="H11" s="171" t="s">
        <v>13</v>
      </c>
      <c r="I11" s="155"/>
      <c r="J11" s="172" t="s">
        <v>14</v>
      </c>
      <c r="K11" s="155"/>
    </row>
    <row r="12" spans="2:12" ht="48" customHeight="1" x14ac:dyDescent="0.35">
      <c r="B12" s="157">
        <v>93487220.799999997</v>
      </c>
      <c r="C12" s="155"/>
      <c r="D12" s="185">
        <v>48514.385469641929</v>
      </c>
      <c r="E12" s="155"/>
      <c r="F12" s="191">
        <v>2745502.88</v>
      </c>
      <c r="G12" s="155"/>
      <c r="H12" s="177">
        <v>1338.7994850589059</v>
      </c>
      <c r="I12" s="155"/>
      <c r="J12" s="178">
        <v>82</v>
      </c>
      <c r="K12" s="155"/>
    </row>
    <row r="13" spans="2:12" ht="22" customHeight="1" x14ac:dyDescent="0.35">
      <c r="B13" s="160" t="s">
        <v>9</v>
      </c>
      <c r="C13" s="155"/>
      <c r="D13" s="160" t="s">
        <v>15</v>
      </c>
      <c r="E13" s="155"/>
      <c r="F13" s="160" t="s">
        <v>9</v>
      </c>
      <c r="G13" s="155"/>
      <c r="H13" s="160" t="s">
        <v>15</v>
      </c>
      <c r="I13" s="155"/>
      <c r="J13" s="160" t="s">
        <v>16</v>
      </c>
      <c r="K13" s="155"/>
    </row>
    <row r="14" spans="2:12" ht="12" customHeight="1" x14ac:dyDescent="0.35">
      <c r="B14" s="161"/>
      <c r="C14" s="155"/>
      <c r="D14" s="188"/>
      <c r="E14" s="155"/>
      <c r="F14" s="179"/>
      <c r="G14" s="155"/>
      <c r="H14" s="179"/>
      <c r="I14" s="155"/>
      <c r="J14" s="190"/>
      <c r="K14" s="155"/>
    </row>
    <row r="15" spans="2:12" ht="10" customHeight="1" x14ac:dyDescent="0.35"/>
    <row r="16" spans="2:12" ht="22" customHeight="1" x14ac:dyDescent="0.35">
      <c r="B16" s="164" t="s">
        <v>17</v>
      </c>
      <c r="C16" s="155"/>
      <c r="D16" s="155"/>
      <c r="E16" s="155"/>
      <c r="F16" s="155"/>
      <c r="G16" s="155"/>
      <c r="H16" s="155"/>
      <c r="I16" s="155"/>
      <c r="J16" s="155"/>
      <c r="K16" s="155"/>
      <c r="L16" s="155"/>
    </row>
    <row r="17" spans="2:16" ht="22" customHeight="1" x14ac:dyDescent="0.35">
      <c r="B17" s="148" t="s">
        <v>18</v>
      </c>
      <c r="C17" s="149"/>
      <c r="D17" s="148" t="s">
        <v>19</v>
      </c>
      <c r="E17" s="149"/>
      <c r="F17" s="148" t="s">
        <v>20</v>
      </c>
      <c r="G17" s="149"/>
      <c r="H17" s="148" t="s">
        <v>21</v>
      </c>
      <c r="I17" s="149"/>
      <c r="J17" s="148" t="s">
        <v>22</v>
      </c>
      <c r="K17" s="149"/>
      <c r="L17" s="148" t="s">
        <v>23</v>
      </c>
      <c r="M17" s="149"/>
      <c r="O17" t="s">
        <v>24</v>
      </c>
      <c r="P17" t="s">
        <v>25</v>
      </c>
    </row>
    <row r="18" spans="2:16" ht="18" customHeight="1" x14ac:dyDescent="0.35">
      <c r="B18" s="152" t="s">
        <v>26</v>
      </c>
      <c r="C18" s="149"/>
      <c r="D18" s="150">
        <v>1698</v>
      </c>
      <c r="E18" s="149"/>
      <c r="F18" s="170">
        <v>0.17</v>
      </c>
      <c r="G18" s="149"/>
      <c r="H18" s="150">
        <v>65</v>
      </c>
      <c r="I18" s="149"/>
      <c r="J18" s="182" t="s">
        <v>27</v>
      </c>
      <c r="K18" s="149"/>
      <c r="L18" s="182" t="s">
        <v>27</v>
      </c>
      <c r="M18" s="149"/>
      <c r="O18" t="s">
        <v>26</v>
      </c>
      <c r="P18">
        <v>1698</v>
      </c>
    </row>
    <row r="19" spans="2:16" ht="18" customHeight="1" x14ac:dyDescent="0.35">
      <c r="B19" s="159" t="s">
        <v>28</v>
      </c>
      <c r="C19" s="149"/>
      <c r="D19" s="165">
        <v>1894</v>
      </c>
      <c r="E19" s="149"/>
      <c r="F19" s="153">
        <v>0.15</v>
      </c>
      <c r="G19" s="149"/>
      <c r="H19" s="165">
        <v>69</v>
      </c>
      <c r="I19" s="149"/>
      <c r="J19" s="151">
        <v>196</v>
      </c>
      <c r="K19" s="149"/>
      <c r="L19" s="153">
        <v>0.11542991755005889</v>
      </c>
      <c r="M19" s="149"/>
      <c r="O19" t="s">
        <v>28</v>
      </c>
      <c r="P19">
        <v>1894</v>
      </c>
    </row>
    <row r="20" spans="2:16" ht="18" customHeight="1" x14ac:dyDescent="0.35">
      <c r="B20" s="152" t="s">
        <v>29</v>
      </c>
      <c r="C20" s="149"/>
      <c r="D20" s="150">
        <v>2000</v>
      </c>
      <c r="E20" s="149"/>
      <c r="F20" s="170">
        <v>0.19</v>
      </c>
      <c r="G20" s="149"/>
      <c r="H20" s="150">
        <v>80</v>
      </c>
      <c r="I20" s="149"/>
      <c r="J20" s="173">
        <v>106</v>
      </c>
      <c r="K20" s="149"/>
      <c r="L20" s="170">
        <v>5.59662090813094E-2</v>
      </c>
      <c r="M20" s="149"/>
      <c r="O20" t="s">
        <v>29</v>
      </c>
      <c r="P20">
        <v>2000</v>
      </c>
    </row>
    <row r="21" spans="2:16" ht="18" customHeight="1" x14ac:dyDescent="0.35">
      <c r="B21" s="159" t="s">
        <v>30</v>
      </c>
      <c r="C21" s="149"/>
      <c r="D21" s="165">
        <v>1800</v>
      </c>
      <c r="E21" s="149"/>
      <c r="F21" s="153">
        <v>0.23</v>
      </c>
      <c r="G21" s="149"/>
      <c r="H21" s="165">
        <v>78</v>
      </c>
      <c r="I21" s="149"/>
      <c r="J21" s="163">
        <v>-200</v>
      </c>
      <c r="K21" s="149"/>
      <c r="L21" s="153">
        <v>-0.1</v>
      </c>
      <c r="M21" s="149"/>
      <c r="O21" t="s">
        <v>30</v>
      </c>
      <c r="P21">
        <v>1800</v>
      </c>
    </row>
    <row r="22" spans="2:16" ht="18" customHeight="1" x14ac:dyDescent="0.35">
      <c r="B22" s="152" t="s">
        <v>31</v>
      </c>
      <c r="C22" s="149"/>
      <c r="D22" s="150">
        <v>1927</v>
      </c>
      <c r="E22" s="149"/>
      <c r="F22" s="170">
        <v>0.23</v>
      </c>
      <c r="G22" s="149"/>
      <c r="H22" s="150">
        <v>82</v>
      </c>
      <c r="I22" s="149"/>
      <c r="J22" s="173">
        <v>127</v>
      </c>
      <c r="K22" s="149"/>
      <c r="L22" s="170">
        <v>7.0555555555555552E-2</v>
      </c>
      <c r="M22" s="149"/>
      <c r="O22" t="s">
        <v>31</v>
      </c>
      <c r="P22">
        <v>1927</v>
      </c>
    </row>
    <row r="24" spans="2:16" ht="22" customHeight="1" x14ac:dyDescent="0.35">
      <c r="H24" s="186" t="s">
        <v>32</v>
      </c>
      <c r="I24" s="155"/>
      <c r="J24" s="155"/>
      <c r="K24" s="155"/>
      <c r="L24" s="155"/>
    </row>
    <row r="25" spans="2:16" x14ac:dyDescent="0.35">
      <c r="H25" s="167" t="s">
        <v>33</v>
      </c>
      <c r="I25" s="149"/>
      <c r="J25" s="9" t="s">
        <v>19</v>
      </c>
      <c r="K25" s="9" t="s">
        <v>34</v>
      </c>
      <c r="L25" s="9" t="s">
        <v>35</v>
      </c>
    </row>
    <row r="26" spans="2:16" ht="18" customHeight="1" x14ac:dyDescent="0.35">
      <c r="H26" s="174" t="s">
        <v>36</v>
      </c>
      <c r="I26" s="149"/>
      <c r="J26" s="10">
        <v>82.49</v>
      </c>
      <c r="K26" s="11">
        <v>84</v>
      </c>
      <c r="L26" s="12">
        <v>0.98207999999999995</v>
      </c>
    </row>
    <row r="27" spans="2:16" ht="18" customHeight="1" x14ac:dyDescent="0.35">
      <c r="H27" s="189" t="s">
        <v>37</v>
      </c>
      <c r="I27" s="149"/>
      <c r="J27" s="13">
        <v>80.75</v>
      </c>
      <c r="K27" s="14">
        <v>84</v>
      </c>
      <c r="L27" s="15">
        <v>0.96131</v>
      </c>
    </row>
    <row r="28" spans="2:16" ht="18" customHeight="1" x14ac:dyDescent="0.35">
      <c r="H28" s="174" t="s">
        <v>38</v>
      </c>
      <c r="I28" s="149"/>
      <c r="J28" s="10">
        <v>75.41</v>
      </c>
      <c r="K28" s="11">
        <v>84</v>
      </c>
      <c r="L28" s="12">
        <v>0.89773999999999998</v>
      </c>
    </row>
    <row r="29" spans="2:16" ht="18" customHeight="1" x14ac:dyDescent="0.35">
      <c r="H29" s="189" t="s">
        <v>39</v>
      </c>
      <c r="I29" s="149"/>
      <c r="J29" s="13">
        <v>73.41</v>
      </c>
      <c r="K29" s="14">
        <v>84</v>
      </c>
      <c r="L29" s="15">
        <v>0.87392999999999998</v>
      </c>
    </row>
    <row r="30" spans="2:16" ht="18" customHeight="1" x14ac:dyDescent="0.35">
      <c r="H30" s="174" t="s">
        <v>40</v>
      </c>
      <c r="I30" s="149"/>
      <c r="J30" s="10">
        <v>70.25</v>
      </c>
      <c r="K30" s="11">
        <v>84</v>
      </c>
      <c r="L30" s="12">
        <v>0.83631</v>
      </c>
    </row>
    <row r="43" spans="2:12" ht="15" customHeight="1" x14ac:dyDescent="0.35"/>
    <row r="44" spans="2:12" x14ac:dyDescent="0.35">
      <c r="B44" s="183" t="s">
        <v>41</v>
      </c>
      <c r="C44" s="155"/>
      <c r="D44" s="155"/>
      <c r="E44" s="155"/>
      <c r="F44" s="155"/>
      <c r="G44" s="155"/>
      <c r="H44" s="155"/>
      <c r="I44" s="155"/>
      <c r="J44" s="155"/>
      <c r="K44" s="155"/>
      <c r="L44" s="155"/>
    </row>
  </sheetData>
  <mergeCells count="88">
    <mergeCell ref="D8:E8"/>
    <mergeCell ref="H18:I18"/>
    <mergeCell ref="J18:K18"/>
    <mergeCell ref="H8:I8"/>
    <mergeCell ref="J8:K8"/>
    <mergeCell ref="J17:K17"/>
    <mergeCell ref="B44:L44"/>
    <mergeCell ref="B19:C19"/>
    <mergeCell ref="F22:G22"/>
    <mergeCell ref="H22:I22"/>
    <mergeCell ref="B9:C9"/>
    <mergeCell ref="D12:E12"/>
    <mergeCell ref="B20:C20"/>
    <mergeCell ref="H24:L24"/>
    <mergeCell ref="D14:E14"/>
    <mergeCell ref="F14:G14"/>
    <mergeCell ref="H30:I30"/>
    <mergeCell ref="F11:G11"/>
    <mergeCell ref="H20:I20"/>
    <mergeCell ref="H29:I29"/>
    <mergeCell ref="J14:K14"/>
    <mergeCell ref="J13:K13"/>
    <mergeCell ref="F7:G7"/>
    <mergeCell ref="F21:G21"/>
    <mergeCell ref="H21:I21"/>
    <mergeCell ref="B2:L2"/>
    <mergeCell ref="L18:M18"/>
    <mergeCell ref="B17:C17"/>
    <mergeCell ref="D17:E17"/>
    <mergeCell ref="F8:G8"/>
    <mergeCell ref="B5:L5"/>
    <mergeCell ref="D21:E21"/>
    <mergeCell ref="F12:G12"/>
    <mergeCell ref="H6:I6"/>
    <mergeCell ref="J6:K6"/>
    <mergeCell ref="B8:C8"/>
    <mergeCell ref="H7:I7"/>
    <mergeCell ref="J7:K7"/>
    <mergeCell ref="H28:I28"/>
    <mergeCell ref="J22:K22"/>
    <mergeCell ref="D9:E9"/>
    <mergeCell ref="L22:M22"/>
    <mergeCell ref="F9:G9"/>
    <mergeCell ref="H12:I12"/>
    <mergeCell ref="J12:K12"/>
    <mergeCell ref="H14:I14"/>
    <mergeCell ref="D18:E18"/>
    <mergeCell ref="H27:I27"/>
    <mergeCell ref="H26:I26"/>
    <mergeCell ref="B3:L3"/>
    <mergeCell ref="F6:G6"/>
    <mergeCell ref="B18:C18"/>
    <mergeCell ref="H25:I25"/>
    <mergeCell ref="B11:C11"/>
    <mergeCell ref="D11:E11"/>
    <mergeCell ref="F20:G20"/>
    <mergeCell ref="F18:G18"/>
    <mergeCell ref="F17:G17"/>
    <mergeCell ref="H17:I17"/>
    <mergeCell ref="H11:I11"/>
    <mergeCell ref="J11:K11"/>
    <mergeCell ref="J20:K20"/>
    <mergeCell ref="L20:M20"/>
    <mergeCell ref="H19:I19"/>
    <mergeCell ref="B6:C6"/>
    <mergeCell ref="H9:I9"/>
    <mergeCell ref="J9:K9"/>
    <mergeCell ref="B12:C12"/>
    <mergeCell ref="D6:E6"/>
    <mergeCell ref="B21:C21"/>
    <mergeCell ref="D13:E13"/>
    <mergeCell ref="B14:C14"/>
    <mergeCell ref="B13:C13"/>
    <mergeCell ref="D7:E7"/>
    <mergeCell ref="F13:G13"/>
    <mergeCell ref="H13:I13"/>
    <mergeCell ref="J21:K21"/>
    <mergeCell ref="B16:L16"/>
    <mergeCell ref="D19:E19"/>
    <mergeCell ref="F19:G19"/>
    <mergeCell ref="B7:C7"/>
    <mergeCell ref="L17:M17"/>
    <mergeCell ref="D20:E20"/>
    <mergeCell ref="J19:K19"/>
    <mergeCell ref="B22:C22"/>
    <mergeCell ref="L19:M19"/>
    <mergeCell ref="D22:E22"/>
    <mergeCell ref="L21:M2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9"/>
  <sheetViews>
    <sheetView showGridLines="0" workbookViewId="0">
      <selection activeCell="L2" sqref="L2"/>
    </sheetView>
  </sheetViews>
  <sheetFormatPr baseColWidth="10" defaultColWidth="8.7265625" defaultRowHeight="14.5" x14ac:dyDescent="0.35"/>
  <cols>
    <col min="1" max="1" width="3" customWidth="1"/>
    <col min="2" max="2" width="18" customWidth="1"/>
    <col min="3" max="3" width="16" customWidth="1"/>
    <col min="4" max="6" width="14" customWidth="1"/>
    <col min="7" max="8" width="16" customWidth="1"/>
    <col min="9" max="10" width="14" customWidth="1"/>
  </cols>
  <sheetData>
    <row r="1" spans="2:13" ht="6" customHeight="1" x14ac:dyDescent="0.35"/>
    <row r="2" spans="2:13" ht="40" customHeight="1" x14ac:dyDescent="0.35">
      <c r="B2" s="201" t="s">
        <v>42</v>
      </c>
      <c r="C2" s="155"/>
      <c r="D2" s="155"/>
      <c r="E2" s="155"/>
      <c r="F2" s="155"/>
      <c r="G2" s="155"/>
      <c r="H2" s="155"/>
      <c r="I2" s="155"/>
      <c r="J2" s="155"/>
    </row>
    <row r="3" spans="2:13" ht="20" customHeight="1" x14ac:dyDescent="0.35">
      <c r="B3" s="166" t="s">
        <v>43</v>
      </c>
      <c r="C3" s="155"/>
      <c r="D3" s="155"/>
      <c r="E3" s="155"/>
      <c r="F3" s="155"/>
      <c r="G3" s="155"/>
      <c r="H3" s="155"/>
      <c r="I3" s="155"/>
      <c r="J3" s="155"/>
    </row>
    <row r="4" spans="2:13" ht="10" customHeight="1" x14ac:dyDescent="0.35"/>
    <row r="5" spans="2:13" ht="22" customHeight="1" x14ac:dyDescent="0.35">
      <c r="B5" s="164" t="s">
        <v>44</v>
      </c>
      <c r="C5" s="155"/>
      <c r="D5" s="155"/>
      <c r="E5" s="155"/>
      <c r="F5" s="155"/>
      <c r="G5" s="155"/>
      <c r="H5" s="155"/>
      <c r="I5" s="155"/>
      <c r="J5" s="155"/>
    </row>
    <row r="6" spans="2:13" ht="35" customHeight="1" x14ac:dyDescent="0.35">
      <c r="B6" s="1" t="s">
        <v>18</v>
      </c>
      <c r="C6" s="1" t="s">
        <v>45</v>
      </c>
      <c r="D6" s="1" t="s">
        <v>46</v>
      </c>
      <c r="E6" s="1" t="s">
        <v>47</v>
      </c>
      <c r="F6" s="1" t="s">
        <v>20</v>
      </c>
      <c r="G6" s="1" t="s">
        <v>48</v>
      </c>
      <c r="H6" s="1" t="s">
        <v>49</v>
      </c>
      <c r="I6" s="1" t="s">
        <v>50</v>
      </c>
      <c r="J6" s="1" t="s">
        <v>51</v>
      </c>
      <c r="K6" t="s">
        <v>24</v>
      </c>
      <c r="L6" t="s">
        <v>52</v>
      </c>
      <c r="M6" t="s">
        <v>53</v>
      </c>
    </row>
    <row r="7" spans="2:13" ht="22" customHeight="1" x14ac:dyDescent="0.35">
      <c r="B7" s="2" t="s">
        <v>26</v>
      </c>
      <c r="C7" s="3">
        <v>1698</v>
      </c>
      <c r="D7" s="3">
        <v>2156.9</v>
      </c>
      <c r="E7" s="16">
        <v>0.78724094765635866</v>
      </c>
      <c r="F7" s="4">
        <v>0.17</v>
      </c>
      <c r="G7" s="3">
        <v>65</v>
      </c>
      <c r="H7" s="5" t="s">
        <v>27</v>
      </c>
      <c r="I7" s="5" t="s">
        <v>27</v>
      </c>
      <c r="J7" s="5" t="s">
        <v>54</v>
      </c>
      <c r="K7" t="s">
        <v>26</v>
      </c>
      <c r="L7">
        <v>1698</v>
      </c>
      <c r="M7">
        <v>17</v>
      </c>
    </row>
    <row r="8" spans="2:13" ht="22" customHeight="1" x14ac:dyDescent="0.35">
      <c r="B8" s="6" t="s">
        <v>28</v>
      </c>
      <c r="C8" s="7">
        <v>1894</v>
      </c>
      <c r="D8" s="7">
        <v>2156.9</v>
      </c>
      <c r="E8" s="17">
        <v>0.8781121053363623</v>
      </c>
      <c r="F8" s="8">
        <v>0.15</v>
      </c>
      <c r="G8" s="7">
        <v>69</v>
      </c>
      <c r="H8" s="7">
        <v>196</v>
      </c>
      <c r="I8" s="8">
        <v>0.11542991755005889</v>
      </c>
      <c r="J8" s="18" t="s">
        <v>54</v>
      </c>
      <c r="K8" t="s">
        <v>28</v>
      </c>
      <c r="L8">
        <v>1894</v>
      </c>
      <c r="M8">
        <v>15</v>
      </c>
    </row>
    <row r="9" spans="2:13" ht="22" customHeight="1" x14ac:dyDescent="0.35">
      <c r="B9" s="2" t="s">
        <v>29</v>
      </c>
      <c r="C9" s="3">
        <v>2000</v>
      </c>
      <c r="D9" s="3">
        <v>2156.9</v>
      </c>
      <c r="E9" s="19">
        <v>0.92725671102044593</v>
      </c>
      <c r="F9" s="4">
        <v>0.19</v>
      </c>
      <c r="G9" s="3">
        <v>80</v>
      </c>
      <c r="H9" s="3">
        <v>106</v>
      </c>
      <c r="I9" s="4">
        <v>5.59662090813094E-2</v>
      </c>
      <c r="J9" s="5" t="s">
        <v>54</v>
      </c>
      <c r="K9" t="s">
        <v>29</v>
      </c>
      <c r="L9">
        <v>2000</v>
      </c>
      <c r="M9">
        <v>19</v>
      </c>
    </row>
    <row r="10" spans="2:13" ht="22" customHeight="1" x14ac:dyDescent="0.35">
      <c r="B10" s="6" t="s">
        <v>30</v>
      </c>
      <c r="C10" s="7">
        <v>1800</v>
      </c>
      <c r="D10" s="7">
        <v>2156.9</v>
      </c>
      <c r="E10" s="17">
        <v>0.83453103991840138</v>
      </c>
      <c r="F10" s="8">
        <v>0.23</v>
      </c>
      <c r="G10" s="7">
        <v>78</v>
      </c>
      <c r="H10" s="7">
        <v>-200</v>
      </c>
      <c r="I10" s="8">
        <v>-0.1</v>
      </c>
      <c r="J10" s="18" t="s">
        <v>54</v>
      </c>
      <c r="K10" t="s">
        <v>30</v>
      </c>
      <c r="L10">
        <v>1800</v>
      </c>
      <c r="M10">
        <v>23</v>
      </c>
    </row>
    <row r="11" spans="2:13" ht="22" customHeight="1" x14ac:dyDescent="0.35">
      <c r="B11" s="2" t="s">
        <v>31</v>
      </c>
      <c r="C11" s="3">
        <v>1927</v>
      </c>
      <c r="D11" s="3">
        <v>2156.9</v>
      </c>
      <c r="E11" s="19">
        <v>0.89341184106819971</v>
      </c>
      <c r="F11" s="4">
        <v>0.23</v>
      </c>
      <c r="G11" s="3">
        <v>82</v>
      </c>
      <c r="H11" s="3">
        <v>127</v>
      </c>
      <c r="I11" s="4">
        <v>7.0555555555555552E-2</v>
      </c>
      <c r="J11" s="20">
        <v>48514.385469641929</v>
      </c>
      <c r="K11" t="s">
        <v>31</v>
      </c>
      <c r="L11">
        <v>1927</v>
      </c>
      <c r="M11">
        <v>23</v>
      </c>
    </row>
    <row r="12" spans="2:13" ht="25" customHeight="1" x14ac:dyDescent="0.35">
      <c r="B12" s="21" t="s">
        <v>55</v>
      </c>
      <c r="C12" s="22">
        <v>9319</v>
      </c>
      <c r="D12" s="23">
        <v>2156.9</v>
      </c>
      <c r="E12" s="24">
        <v>0.86411052899995366</v>
      </c>
      <c r="F12" s="25">
        <v>0.19400000000000001</v>
      </c>
      <c r="G12" s="23">
        <v>74</v>
      </c>
      <c r="H12" s="9" t="s">
        <v>27</v>
      </c>
      <c r="I12" s="9" t="s">
        <v>27</v>
      </c>
      <c r="J12" s="9" t="s">
        <v>27</v>
      </c>
    </row>
    <row r="13" spans="2:13" ht="10" customHeight="1" x14ac:dyDescent="0.35"/>
    <row r="33" spans="2:10" ht="22" customHeight="1" x14ac:dyDescent="0.35">
      <c r="B33" s="164" t="s">
        <v>56</v>
      </c>
      <c r="C33" s="155"/>
      <c r="D33" s="155"/>
      <c r="E33" s="155"/>
      <c r="F33" s="155"/>
      <c r="G33" s="155"/>
      <c r="H33" s="155"/>
      <c r="I33" s="155"/>
      <c r="J33" s="155"/>
    </row>
    <row r="34" spans="2:10" x14ac:dyDescent="0.35">
      <c r="B34" s="9" t="s">
        <v>18</v>
      </c>
      <c r="C34" s="167" t="s">
        <v>57</v>
      </c>
      <c r="D34" s="196"/>
      <c r="E34" s="196"/>
      <c r="F34" s="196"/>
      <c r="G34" s="196"/>
      <c r="H34" s="196"/>
      <c r="I34" s="196"/>
      <c r="J34" s="149"/>
    </row>
    <row r="35" spans="2:10" ht="22" customHeight="1" x14ac:dyDescent="0.35">
      <c r="B35" s="26" t="s">
        <v>26</v>
      </c>
      <c r="C35" s="202" t="s">
        <v>58</v>
      </c>
      <c r="D35" s="196"/>
      <c r="E35" s="196"/>
      <c r="F35" s="196"/>
      <c r="G35" s="196"/>
      <c r="H35" s="196"/>
      <c r="I35" s="196"/>
      <c r="J35" s="149"/>
    </row>
    <row r="36" spans="2:10" ht="22" customHeight="1" x14ac:dyDescent="0.35">
      <c r="B36" s="27" t="s">
        <v>28</v>
      </c>
      <c r="C36" s="198" t="s">
        <v>59</v>
      </c>
      <c r="D36" s="196"/>
      <c r="E36" s="196"/>
      <c r="F36" s="196"/>
      <c r="G36" s="196"/>
      <c r="H36" s="196"/>
      <c r="I36" s="196"/>
      <c r="J36" s="149"/>
    </row>
    <row r="37" spans="2:10" ht="22" customHeight="1" x14ac:dyDescent="0.35">
      <c r="B37" s="28" t="s">
        <v>29</v>
      </c>
      <c r="C37" s="199" t="s">
        <v>60</v>
      </c>
      <c r="D37" s="196"/>
      <c r="E37" s="196"/>
      <c r="F37" s="196"/>
      <c r="G37" s="196"/>
      <c r="H37" s="196"/>
      <c r="I37" s="196"/>
      <c r="J37" s="149"/>
    </row>
    <row r="38" spans="2:10" ht="22" customHeight="1" x14ac:dyDescent="0.35">
      <c r="B38" s="29" t="s">
        <v>30</v>
      </c>
      <c r="C38" s="197" t="s">
        <v>61</v>
      </c>
      <c r="D38" s="196"/>
      <c r="E38" s="196"/>
      <c r="F38" s="196"/>
      <c r="G38" s="196"/>
      <c r="H38" s="196"/>
      <c r="I38" s="196"/>
      <c r="J38" s="149"/>
    </row>
    <row r="39" spans="2:10" ht="22" customHeight="1" x14ac:dyDescent="0.35">
      <c r="B39" s="30" t="s">
        <v>31</v>
      </c>
      <c r="C39" s="200" t="s">
        <v>62</v>
      </c>
      <c r="D39" s="196"/>
      <c r="E39" s="196"/>
      <c r="F39" s="196"/>
      <c r="G39" s="196"/>
      <c r="H39" s="196"/>
      <c r="I39" s="196"/>
      <c r="J39" s="149"/>
    </row>
  </sheetData>
  <mergeCells count="10">
    <mergeCell ref="C39:J39"/>
    <mergeCell ref="B2:J2"/>
    <mergeCell ref="C35:J35"/>
    <mergeCell ref="B33:J33"/>
    <mergeCell ref="C34:J34"/>
    <mergeCell ref="B3:J3"/>
    <mergeCell ref="B5:J5"/>
    <mergeCell ref="C38:J38"/>
    <mergeCell ref="C36:J36"/>
    <mergeCell ref="C37:J37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65"/>
  <sheetViews>
    <sheetView showGridLines="0" topLeftCell="A74" workbookViewId="0">
      <selection activeCell="L4" sqref="L4"/>
    </sheetView>
  </sheetViews>
  <sheetFormatPr baseColWidth="10" defaultColWidth="8.7265625" defaultRowHeight="14.5" x14ac:dyDescent="0.35"/>
  <cols>
    <col min="1" max="1" width="3" customWidth="1"/>
    <col min="2" max="2" width="24" customWidth="1"/>
    <col min="3" max="11" width="15" customWidth="1"/>
  </cols>
  <sheetData>
    <row r="1" spans="2:11" ht="6" customHeight="1" x14ac:dyDescent="0.35"/>
    <row r="2" spans="2:11" ht="40" customHeight="1" x14ac:dyDescent="0.35">
      <c r="B2" s="201" t="s">
        <v>63</v>
      </c>
      <c r="C2" s="155"/>
      <c r="D2" s="155"/>
      <c r="E2" s="155"/>
      <c r="F2" s="155"/>
      <c r="G2" s="155"/>
      <c r="H2" s="155"/>
      <c r="I2" s="155"/>
      <c r="J2" s="155"/>
      <c r="K2" s="155"/>
    </row>
    <row r="3" spans="2:11" ht="20" customHeight="1" x14ac:dyDescent="0.35">
      <c r="B3" s="166" t="s">
        <v>64</v>
      </c>
      <c r="C3" s="155"/>
      <c r="D3" s="155"/>
      <c r="E3" s="155"/>
      <c r="F3" s="155"/>
      <c r="G3" s="155"/>
      <c r="H3" s="155"/>
      <c r="I3" s="155"/>
      <c r="J3" s="155"/>
      <c r="K3" s="155"/>
    </row>
    <row r="4" spans="2:11" ht="8" customHeight="1" x14ac:dyDescent="0.35"/>
    <row r="5" spans="2:11" ht="22" customHeight="1" x14ac:dyDescent="0.35">
      <c r="B5" s="210" t="s">
        <v>65</v>
      </c>
      <c r="C5" s="155"/>
      <c r="D5" s="155"/>
      <c r="E5" s="155"/>
      <c r="F5" s="155"/>
      <c r="G5" s="155"/>
      <c r="H5" s="155"/>
      <c r="I5" s="155"/>
      <c r="J5" s="155"/>
      <c r="K5" s="155"/>
    </row>
    <row r="6" spans="2:11" ht="35" customHeight="1" x14ac:dyDescent="0.35">
      <c r="B6" s="158" t="s">
        <v>66</v>
      </c>
      <c r="C6" s="155"/>
      <c r="D6" s="193" t="s">
        <v>67</v>
      </c>
      <c r="E6" s="155"/>
      <c r="F6" s="246" t="s">
        <v>68</v>
      </c>
      <c r="G6" s="247"/>
      <c r="H6" s="212" t="s">
        <v>69</v>
      </c>
      <c r="I6" s="155"/>
      <c r="J6" s="172" t="s">
        <v>70</v>
      </c>
      <c r="K6" s="155"/>
    </row>
    <row r="7" spans="2:11" ht="40" customHeight="1" x14ac:dyDescent="0.35">
      <c r="B7" s="204">
        <v>933.82</v>
      </c>
      <c r="C7" s="155"/>
      <c r="D7" s="218">
        <v>1078.45</v>
      </c>
      <c r="E7" s="155"/>
      <c r="F7" s="248">
        <v>144.63</v>
      </c>
      <c r="G7" s="247"/>
      <c r="H7" s="219">
        <v>57978124.630000003</v>
      </c>
      <c r="I7" s="155"/>
      <c r="J7" s="220">
        <v>9684490</v>
      </c>
      <c r="K7" s="155"/>
    </row>
    <row r="8" spans="2:11" ht="14" customHeight="1" x14ac:dyDescent="0.35">
      <c r="B8" s="216"/>
      <c r="C8" s="155"/>
      <c r="D8" s="216"/>
      <c r="E8" s="155"/>
      <c r="F8" s="216"/>
      <c r="G8" s="155"/>
      <c r="H8" s="216"/>
      <c r="I8" s="155"/>
      <c r="J8" s="216"/>
      <c r="K8" s="155"/>
    </row>
    <row r="9" spans="2:11" ht="10" customHeight="1" x14ac:dyDescent="0.35"/>
    <row r="10" spans="2:11" ht="22" customHeight="1" x14ac:dyDescent="0.35">
      <c r="B10" s="164" t="s">
        <v>71</v>
      </c>
      <c r="C10" s="155"/>
      <c r="D10" s="155"/>
      <c r="E10" s="155"/>
      <c r="F10" s="155"/>
      <c r="G10" s="155"/>
      <c r="H10" s="155"/>
      <c r="I10" s="155"/>
      <c r="J10" s="155"/>
      <c r="K10" s="155"/>
    </row>
    <row r="11" spans="2:11" ht="35" customHeight="1" x14ac:dyDescent="0.35">
      <c r="B11" s="1" t="s">
        <v>72</v>
      </c>
      <c r="C11" s="1" t="s">
        <v>33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78</v>
      </c>
      <c r="J11" s="1" t="s">
        <v>45</v>
      </c>
      <c r="K11" s="1" t="s">
        <v>79</v>
      </c>
    </row>
    <row r="12" spans="2:11" ht="18" customHeight="1" x14ac:dyDescent="0.35">
      <c r="B12" s="31">
        <v>1</v>
      </c>
      <c r="C12" s="32" t="s">
        <v>39</v>
      </c>
      <c r="D12" s="33">
        <v>893826.00000000012</v>
      </c>
      <c r="E12" s="33">
        <v>157734</v>
      </c>
      <c r="F12" s="33">
        <v>65722.5</v>
      </c>
      <c r="G12" s="33">
        <v>65722.5</v>
      </c>
      <c r="H12" s="33">
        <v>131445</v>
      </c>
      <c r="I12" s="34">
        <v>1314450</v>
      </c>
      <c r="J12" s="35">
        <v>36.704999999999998</v>
      </c>
      <c r="K12" s="36">
        <v>36.704999999999998</v>
      </c>
    </row>
    <row r="13" spans="2:11" ht="18" customHeight="1" x14ac:dyDescent="0.35">
      <c r="B13" s="37">
        <v>2</v>
      </c>
      <c r="C13" s="38" t="s">
        <v>80</v>
      </c>
      <c r="D13" s="14">
        <v>870570.00000000012</v>
      </c>
      <c r="E13" s="14">
        <v>153630</v>
      </c>
      <c r="F13" s="14">
        <v>64012.5</v>
      </c>
      <c r="G13" s="14">
        <v>64012.5</v>
      </c>
      <c r="H13" s="14">
        <v>128025</v>
      </c>
      <c r="I13" s="39">
        <v>1280250</v>
      </c>
      <c r="J13" s="40">
        <v>11.305</v>
      </c>
      <c r="K13" s="13">
        <v>48.01</v>
      </c>
    </row>
    <row r="14" spans="2:11" ht="18" customHeight="1" x14ac:dyDescent="0.35">
      <c r="B14" s="31">
        <v>3</v>
      </c>
      <c r="C14" s="32" t="s">
        <v>81</v>
      </c>
      <c r="D14" s="33">
        <v>99620.680000000008</v>
      </c>
      <c r="E14" s="33">
        <v>17580.12</v>
      </c>
      <c r="F14" s="33">
        <v>7325.05</v>
      </c>
      <c r="G14" s="33">
        <v>7325.05</v>
      </c>
      <c r="H14" s="33">
        <v>14650.1</v>
      </c>
      <c r="I14" s="34">
        <v>146501</v>
      </c>
      <c r="J14" s="35">
        <v>0.66500000000000004</v>
      </c>
      <c r="K14" s="36">
        <v>48.674999999999997</v>
      </c>
    </row>
    <row r="15" spans="2:11" ht="18" customHeight="1" x14ac:dyDescent="0.35">
      <c r="B15" s="37">
        <v>4</v>
      </c>
      <c r="C15" s="38" t="s">
        <v>82</v>
      </c>
      <c r="D15" s="14">
        <v>905726.00000000012</v>
      </c>
      <c r="E15" s="14">
        <v>159834</v>
      </c>
      <c r="F15" s="14">
        <v>66597.5</v>
      </c>
      <c r="G15" s="14">
        <v>66597.5</v>
      </c>
      <c r="H15" s="14">
        <v>133195</v>
      </c>
      <c r="I15" s="39">
        <v>1331950</v>
      </c>
      <c r="J15" s="40">
        <v>25.18</v>
      </c>
      <c r="K15" s="13">
        <v>73.85499999999999</v>
      </c>
    </row>
    <row r="16" spans="2:11" ht="18" customHeight="1" x14ac:dyDescent="0.35">
      <c r="B16" s="31">
        <v>5</v>
      </c>
      <c r="C16" s="32" t="s">
        <v>83</v>
      </c>
      <c r="D16" s="33">
        <v>723486</v>
      </c>
      <c r="E16" s="33">
        <v>127674</v>
      </c>
      <c r="F16" s="33">
        <v>53197.5</v>
      </c>
      <c r="G16" s="33">
        <v>53197.5</v>
      </c>
      <c r="H16" s="33">
        <v>106395</v>
      </c>
      <c r="I16" s="34">
        <v>1063950</v>
      </c>
      <c r="J16" s="35">
        <v>10.33</v>
      </c>
      <c r="K16" s="36">
        <v>84.184999999999988</v>
      </c>
    </row>
    <row r="17" spans="2:11" ht="18" customHeight="1" x14ac:dyDescent="0.35">
      <c r="B17" s="37">
        <v>6</v>
      </c>
      <c r="C17" s="38" t="s">
        <v>84</v>
      </c>
      <c r="D17" s="14">
        <v>902088.00000000012</v>
      </c>
      <c r="E17" s="14">
        <v>159192</v>
      </c>
      <c r="F17" s="14">
        <v>66330</v>
      </c>
      <c r="G17" s="14">
        <v>66330</v>
      </c>
      <c r="H17" s="14">
        <v>132660</v>
      </c>
      <c r="I17" s="39">
        <v>1326600</v>
      </c>
      <c r="J17" s="40">
        <v>32.090000000000003</v>
      </c>
      <c r="K17" s="13">
        <v>116.27500000000001</v>
      </c>
    </row>
    <row r="18" spans="2:11" ht="18" customHeight="1" x14ac:dyDescent="0.35">
      <c r="B18" s="31">
        <v>7</v>
      </c>
      <c r="C18" s="32" t="s">
        <v>85</v>
      </c>
      <c r="D18" s="33">
        <v>858364.00000000012</v>
      </c>
      <c r="E18" s="33">
        <v>151476</v>
      </c>
      <c r="F18" s="33">
        <v>63115</v>
      </c>
      <c r="G18" s="33">
        <v>63115</v>
      </c>
      <c r="H18" s="33">
        <v>126230</v>
      </c>
      <c r="I18" s="34">
        <v>1262300</v>
      </c>
      <c r="J18" s="35">
        <v>21.285</v>
      </c>
      <c r="K18" s="36">
        <v>137.56</v>
      </c>
    </row>
    <row r="19" spans="2:11" ht="18" customHeight="1" x14ac:dyDescent="0.35">
      <c r="B19" s="37">
        <v>8</v>
      </c>
      <c r="C19" s="38" t="s">
        <v>86</v>
      </c>
      <c r="D19" s="14">
        <v>530087.20000000007</v>
      </c>
      <c r="E19" s="14">
        <v>93544.8</v>
      </c>
      <c r="F19" s="14">
        <v>38977</v>
      </c>
      <c r="G19" s="14">
        <v>38977</v>
      </c>
      <c r="H19" s="14">
        <v>77954</v>
      </c>
      <c r="I19" s="39">
        <v>779540</v>
      </c>
      <c r="J19" s="40">
        <v>4.4000000000000004</v>
      </c>
      <c r="K19" s="13">
        <v>141.96</v>
      </c>
    </row>
    <row r="20" spans="2:11" ht="18" customHeight="1" x14ac:dyDescent="0.35">
      <c r="B20" s="31">
        <v>9</v>
      </c>
      <c r="C20" s="32" t="s">
        <v>87</v>
      </c>
      <c r="D20" s="33">
        <v>461352.8</v>
      </c>
      <c r="E20" s="33">
        <v>81415.199999999997</v>
      </c>
      <c r="F20" s="33">
        <v>33923</v>
      </c>
      <c r="G20" s="33">
        <v>33923</v>
      </c>
      <c r="H20" s="33">
        <v>67846</v>
      </c>
      <c r="I20" s="34">
        <v>678460</v>
      </c>
      <c r="J20" s="35">
        <v>5.48</v>
      </c>
      <c r="K20" s="36">
        <v>147.44</v>
      </c>
    </row>
    <row r="21" spans="2:11" ht="18" customHeight="1" x14ac:dyDescent="0.35">
      <c r="B21" s="37">
        <v>10</v>
      </c>
      <c r="C21" s="38" t="s">
        <v>88</v>
      </c>
      <c r="D21" s="14">
        <v>825894.00000000012</v>
      </c>
      <c r="E21" s="14">
        <v>145746</v>
      </c>
      <c r="F21" s="14">
        <v>60727.5</v>
      </c>
      <c r="G21" s="14">
        <v>60727.5</v>
      </c>
      <c r="H21" s="14">
        <v>121455</v>
      </c>
      <c r="I21" s="39">
        <v>1214550</v>
      </c>
      <c r="J21" s="40">
        <v>29.52</v>
      </c>
      <c r="K21" s="13">
        <v>176.96</v>
      </c>
    </row>
    <row r="22" spans="2:11" ht="18" customHeight="1" x14ac:dyDescent="0.35">
      <c r="B22" s="31">
        <v>11</v>
      </c>
      <c r="C22" s="32" t="s">
        <v>89</v>
      </c>
      <c r="D22" s="33">
        <v>747007.20000000007</v>
      </c>
      <c r="E22" s="33">
        <v>131824.79999999999</v>
      </c>
      <c r="F22" s="33">
        <v>54927</v>
      </c>
      <c r="G22" s="33">
        <v>54927</v>
      </c>
      <c r="H22" s="33">
        <v>109854</v>
      </c>
      <c r="I22" s="34">
        <v>1098540</v>
      </c>
      <c r="J22" s="35">
        <v>16.234999999999999</v>
      </c>
      <c r="K22" s="36">
        <v>193.19499999999999</v>
      </c>
    </row>
    <row r="23" spans="2:11" ht="18" customHeight="1" x14ac:dyDescent="0.35">
      <c r="B23" s="37">
        <v>12</v>
      </c>
      <c r="C23" s="38" t="s">
        <v>90</v>
      </c>
      <c r="D23" s="14">
        <v>699726.8</v>
      </c>
      <c r="E23" s="14">
        <v>123481.2</v>
      </c>
      <c r="F23" s="14">
        <v>51450.5</v>
      </c>
      <c r="G23" s="14">
        <v>51450.5</v>
      </c>
      <c r="H23" s="14">
        <v>102901</v>
      </c>
      <c r="I23" s="39">
        <v>1029010</v>
      </c>
      <c r="J23" s="40">
        <v>8.15</v>
      </c>
      <c r="K23" s="13">
        <v>201.345</v>
      </c>
    </row>
    <row r="24" spans="2:11" ht="18" customHeight="1" x14ac:dyDescent="0.35">
      <c r="B24" s="31">
        <v>13</v>
      </c>
      <c r="C24" s="32" t="s">
        <v>91</v>
      </c>
      <c r="D24" s="33">
        <v>974154.4</v>
      </c>
      <c r="E24" s="33">
        <v>171909.6</v>
      </c>
      <c r="F24" s="33">
        <v>71629</v>
      </c>
      <c r="G24" s="33">
        <v>71629</v>
      </c>
      <c r="H24" s="33">
        <v>143258</v>
      </c>
      <c r="I24" s="34">
        <v>1432580</v>
      </c>
      <c r="J24" s="35">
        <v>26.765000000000001</v>
      </c>
      <c r="K24" s="36">
        <v>228.11</v>
      </c>
    </row>
    <row r="25" spans="2:11" ht="18" customHeight="1" x14ac:dyDescent="0.35">
      <c r="B25" s="37">
        <v>14</v>
      </c>
      <c r="C25" s="38" t="s">
        <v>92</v>
      </c>
      <c r="D25" s="14">
        <v>561850</v>
      </c>
      <c r="E25" s="14">
        <v>99150</v>
      </c>
      <c r="F25" s="14">
        <v>41312.5</v>
      </c>
      <c r="G25" s="14">
        <v>41312.5</v>
      </c>
      <c r="H25" s="14">
        <v>82625</v>
      </c>
      <c r="I25" s="39">
        <v>826250</v>
      </c>
      <c r="J25" s="40">
        <v>12.88</v>
      </c>
      <c r="K25" s="13">
        <v>240.99</v>
      </c>
    </row>
    <row r="26" spans="2:11" ht="18" customHeight="1" x14ac:dyDescent="0.35">
      <c r="B26" s="31">
        <v>15</v>
      </c>
      <c r="C26" s="32" t="s">
        <v>93</v>
      </c>
      <c r="D26" s="33">
        <v>976450.08000000007</v>
      </c>
      <c r="E26" s="33">
        <v>172314.72</v>
      </c>
      <c r="F26" s="33">
        <v>71797.8</v>
      </c>
      <c r="G26" s="33">
        <v>71797.8</v>
      </c>
      <c r="H26" s="33">
        <v>143595.6</v>
      </c>
      <c r="I26" s="34">
        <v>1435956</v>
      </c>
      <c r="J26" s="35">
        <v>26.524999999999999</v>
      </c>
      <c r="K26" s="36">
        <v>267.51499999999999</v>
      </c>
    </row>
    <row r="27" spans="2:11" ht="18" customHeight="1" x14ac:dyDescent="0.35">
      <c r="B27" s="37">
        <v>16</v>
      </c>
      <c r="C27" s="38" t="s">
        <v>94</v>
      </c>
      <c r="D27" s="14">
        <v>345950</v>
      </c>
      <c r="E27" s="14">
        <v>61050</v>
      </c>
      <c r="F27" s="14">
        <v>25437.5</v>
      </c>
      <c r="G27" s="14">
        <v>25437.5</v>
      </c>
      <c r="H27" s="14">
        <v>50875</v>
      </c>
      <c r="I27" s="39">
        <v>508750</v>
      </c>
      <c r="J27" s="40">
        <v>3.1850000000000001</v>
      </c>
      <c r="K27" s="13">
        <v>270.7</v>
      </c>
    </row>
    <row r="28" spans="2:11" ht="18" customHeight="1" x14ac:dyDescent="0.35">
      <c r="B28" s="31">
        <v>17</v>
      </c>
      <c r="C28" s="32" t="s">
        <v>95</v>
      </c>
      <c r="D28" s="33">
        <v>959990.00000000012</v>
      </c>
      <c r="E28" s="33">
        <v>169410</v>
      </c>
      <c r="F28" s="33">
        <v>70587.5</v>
      </c>
      <c r="G28" s="33">
        <v>70587.5</v>
      </c>
      <c r="H28" s="33">
        <v>141175</v>
      </c>
      <c r="I28" s="34">
        <v>1411750</v>
      </c>
      <c r="J28" s="35">
        <v>25.285</v>
      </c>
      <c r="K28" s="36">
        <v>295.98500000000001</v>
      </c>
    </row>
    <row r="29" spans="2:11" ht="18" customHeight="1" x14ac:dyDescent="0.35">
      <c r="B29" s="37">
        <v>18</v>
      </c>
      <c r="C29" s="38" t="s">
        <v>96</v>
      </c>
      <c r="D29" s="14">
        <v>752182</v>
      </c>
      <c r="E29" s="14">
        <v>132738</v>
      </c>
      <c r="F29" s="14">
        <v>55307.5</v>
      </c>
      <c r="G29" s="14">
        <v>55307.5</v>
      </c>
      <c r="H29" s="14">
        <v>110615</v>
      </c>
      <c r="I29" s="39">
        <v>1106150</v>
      </c>
      <c r="J29" s="40">
        <v>16.704999999999998</v>
      </c>
      <c r="K29" s="13">
        <v>312.69</v>
      </c>
    </row>
    <row r="30" spans="2:11" ht="18" customHeight="1" x14ac:dyDescent="0.35">
      <c r="B30" s="31">
        <v>19</v>
      </c>
      <c r="C30" s="32" t="s">
        <v>97</v>
      </c>
      <c r="D30" s="33">
        <v>663680</v>
      </c>
      <c r="E30" s="33">
        <v>117120</v>
      </c>
      <c r="F30" s="33">
        <v>48800</v>
      </c>
      <c r="G30" s="33">
        <v>48800</v>
      </c>
      <c r="H30" s="33">
        <v>97600</v>
      </c>
      <c r="I30" s="34">
        <v>976000</v>
      </c>
      <c r="J30" s="35">
        <v>25.265000000000001</v>
      </c>
      <c r="K30" s="36">
        <v>337.95499999999998</v>
      </c>
    </row>
    <row r="31" spans="2:11" ht="18" customHeight="1" x14ac:dyDescent="0.35">
      <c r="B31" s="37">
        <v>20</v>
      </c>
      <c r="C31" s="38" t="s">
        <v>98</v>
      </c>
      <c r="D31" s="14">
        <v>579190</v>
      </c>
      <c r="E31" s="14">
        <v>102210</v>
      </c>
      <c r="F31" s="14">
        <v>42587.5</v>
      </c>
      <c r="G31" s="14">
        <v>42587.5</v>
      </c>
      <c r="H31" s="14">
        <v>85175</v>
      </c>
      <c r="I31" s="39">
        <v>851750</v>
      </c>
      <c r="J31" s="40">
        <v>3.28</v>
      </c>
      <c r="K31" s="13">
        <v>341.23500000000001</v>
      </c>
    </row>
    <row r="32" spans="2:11" ht="18" customHeight="1" x14ac:dyDescent="0.35">
      <c r="B32" s="31">
        <v>21</v>
      </c>
      <c r="C32" s="32" t="s">
        <v>99</v>
      </c>
      <c r="D32" s="33">
        <v>957066.00000000012</v>
      </c>
      <c r="E32" s="33">
        <v>168894</v>
      </c>
      <c r="F32" s="33">
        <v>70372.5</v>
      </c>
      <c r="G32" s="33">
        <v>70372.5</v>
      </c>
      <c r="H32" s="33">
        <v>140745</v>
      </c>
      <c r="I32" s="34">
        <v>1407450</v>
      </c>
      <c r="J32" s="35">
        <v>22.54</v>
      </c>
      <c r="K32" s="36">
        <v>363.77499999999998</v>
      </c>
    </row>
    <row r="33" spans="2:11" ht="18" customHeight="1" x14ac:dyDescent="0.35">
      <c r="B33" s="37">
        <v>22</v>
      </c>
      <c r="C33" s="38" t="s">
        <v>100</v>
      </c>
      <c r="D33" s="14">
        <v>603119.20000000007</v>
      </c>
      <c r="E33" s="14">
        <v>106432.8</v>
      </c>
      <c r="F33" s="14">
        <v>44347</v>
      </c>
      <c r="G33" s="14">
        <v>44347</v>
      </c>
      <c r="H33" s="14">
        <v>88694</v>
      </c>
      <c r="I33" s="39">
        <v>886940</v>
      </c>
      <c r="J33" s="40">
        <v>16.88</v>
      </c>
      <c r="K33" s="13">
        <v>380.65499999999997</v>
      </c>
    </row>
    <row r="34" spans="2:11" ht="18" customHeight="1" x14ac:dyDescent="0.35">
      <c r="B34" s="31">
        <v>23</v>
      </c>
      <c r="C34" s="32" t="s">
        <v>101</v>
      </c>
      <c r="D34" s="33">
        <v>423640.00000000012</v>
      </c>
      <c r="E34" s="33">
        <v>74760</v>
      </c>
      <c r="F34" s="33">
        <v>31150</v>
      </c>
      <c r="G34" s="33">
        <v>31150</v>
      </c>
      <c r="H34" s="33">
        <v>62300</v>
      </c>
      <c r="I34" s="34">
        <v>623000</v>
      </c>
      <c r="J34" s="35">
        <v>10.585000000000001</v>
      </c>
      <c r="K34" s="36">
        <v>391.24</v>
      </c>
    </row>
    <row r="35" spans="2:11" ht="18" customHeight="1" x14ac:dyDescent="0.35">
      <c r="B35" s="37">
        <v>24</v>
      </c>
      <c r="C35" s="38" t="s">
        <v>102</v>
      </c>
      <c r="D35" s="14">
        <v>947920.00000000012</v>
      </c>
      <c r="E35" s="14">
        <v>167280</v>
      </c>
      <c r="F35" s="14">
        <v>69700</v>
      </c>
      <c r="G35" s="14">
        <v>69700</v>
      </c>
      <c r="H35" s="14">
        <v>139400</v>
      </c>
      <c r="I35" s="39">
        <v>1394000</v>
      </c>
      <c r="J35" s="40">
        <v>33.33</v>
      </c>
      <c r="K35" s="13">
        <v>424.56999999999988</v>
      </c>
    </row>
    <row r="36" spans="2:11" ht="18" customHeight="1" x14ac:dyDescent="0.35">
      <c r="B36" s="31">
        <v>25</v>
      </c>
      <c r="C36" s="32" t="s">
        <v>38</v>
      </c>
      <c r="D36" s="33">
        <v>405450.00000000012</v>
      </c>
      <c r="E36" s="33">
        <v>71550</v>
      </c>
      <c r="F36" s="33">
        <v>29812.5</v>
      </c>
      <c r="G36" s="33">
        <v>29812.5</v>
      </c>
      <c r="H36" s="33">
        <v>59625</v>
      </c>
      <c r="I36" s="34">
        <v>596250</v>
      </c>
      <c r="J36" s="35">
        <v>37.704999999999998</v>
      </c>
      <c r="K36" s="36">
        <v>462.27499999999992</v>
      </c>
    </row>
    <row r="37" spans="2:11" ht="18" customHeight="1" x14ac:dyDescent="0.35">
      <c r="B37" s="37">
        <v>26</v>
      </c>
      <c r="C37" s="38" t="s">
        <v>103</v>
      </c>
      <c r="D37" s="14">
        <v>856099.60000000009</v>
      </c>
      <c r="E37" s="14">
        <v>151076.4</v>
      </c>
      <c r="F37" s="14">
        <v>62948.5</v>
      </c>
      <c r="G37" s="14">
        <v>62948.5</v>
      </c>
      <c r="H37" s="14">
        <v>125897</v>
      </c>
      <c r="I37" s="39">
        <v>1258970</v>
      </c>
      <c r="J37" s="40">
        <v>18.12</v>
      </c>
      <c r="K37" s="13">
        <v>480.39499999999992</v>
      </c>
    </row>
    <row r="38" spans="2:11" ht="18" customHeight="1" x14ac:dyDescent="0.35">
      <c r="B38" s="31">
        <v>27</v>
      </c>
      <c r="C38" s="32" t="s">
        <v>104</v>
      </c>
      <c r="D38" s="33">
        <v>1151271.28</v>
      </c>
      <c r="E38" s="33">
        <v>203165.52</v>
      </c>
      <c r="F38" s="33">
        <v>84652.3</v>
      </c>
      <c r="G38" s="33">
        <v>84652.3</v>
      </c>
      <c r="H38" s="33">
        <v>169304.6</v>
      </c>
      <c r="I38" s="34">
        <v>1693046</v>
      </c>
      <c r="J38" s="35">
        <v>24.074999999999999</v>
      </c>
      <c r="K38" s="36">
        <v>504.46999999999991</v>
      </c>
    </row>
    <row r="39" spans="2:11" ht="18" customHeight="1" x14ac:dyDescent="0.35">
      <c r="B39" s="37">
        <v>28</v>
      </c>
      <c r="C39" s="38" t="s">
        <v>105</v>
      </c>
      <c r="D39" s="14">
        <v>123413.2</v>
      </c>
      <c r="E39" s="14">
        <v>21778.799999999999</v>
      </c>
      <c r="F39" s="14">
        <v>9074.5</v>
      </c>
      <c r="G39" s="14">
        <v>9074.5</v>
      </c>
      <c r="H39" s="14">
        <v>18149</v>
      </c>
      <c r="I39" s="39">
        <v>181490</v>
      </c>
      <c r="J39" s="40">
        <v>20.64</v>
      </c>
      <c r="K39" s="13">
        <v>525.1099999999999</v>
      </c>
    </row>
    <row r="40" spans="2:11" ht="18" customHeight="1" x14ac:dyDescent="0.35">
      <c r="B40" s="31">
        <v>29</v>
      </c>
      <c r="C40" s="32" t="s">
        <v>106</v>
      </c>
      <c r="D40" s="33">
        <v>381412</v>
      </c>
      <c r="E40" s="33">
        <v>67308</v>
      </c>
      <c r="F40" s="33">
        <v>28045</v>
      </c>
      <c r="G40" s="33">
        <v>28045</v>
      </c>
      <c r="H40" s="33">
        <v>56090</v>
      </c>
      <c r="I40" s="34">
        <v>560900</v>
      </c>
      <c r="J40" s="35">
        <v>3.14</v>
      </c>
      <c r="K40" s="36">
        <v>528.24999999999989</v>
      </c>
    </row>
    <row r="41" spans="2:11" ht="18" customHeight="1" x14ac:dyDescent="0.35">
      <c r="B41" s="37">
        <v>30</v>
      </c>
      <c r="C41" s="38" t="s">
        <v>36</v>
      </c>
      <c r="D41" s="14">
        <v>980696.00000000012</v>
      </c>
      <c r="E41" s="14">
        <v>173064</v>
      </c>
      <c r="F41" s="14">
        <v>72110</v>
      </c>
      <c r="G41" s="14">
        <v>72110</v>
      </c>
      <c r="H41" s="14">
        <v>144220</v>
      </c>
      <c r="I41" s="39">
        <v>1442200</v>
      </c>
      <c r="J41" s="40">
        <v>41.244999999999997</v>
      </c>
      <c r="K41" s="13">
        <v>569.49499999999989</v>
      </c>
    </row>
    <row r="42" spans="2:11" ht="18" customHeight="1" x14ac:dyDescent="0.35">
      <c r="B42" s="31">
        <v>31</v>
      </c>
      <c r="C42" s="32" t="s">
        <v>107</v>
      </c>
      <c r="D42" s="33">
        <v>829702.00000000012</v>
      </c>
      <c r="E42" s="33">
        <v>146418</v>
      </c>
      <c r="F42" s="33">
        <v>61007.5</v>
      </c>
      <c r="G42" s="33">
        <v>61007.5</v>
      </c>
      <c r="H42" s="33">
        <v>122015</v>
      </c>
      <c r="I42" s="34">
        <v>1220150</v>
      </c>
      <c r="J42" s="35">
        <v>20.5</v>
      </c>
      <c r="K42" s="36">
        <v>589.99499999999989</v>
      </c>
    </row>
    <row r="43" spans="2:11" ht="18" customHeight="1" x14ac:dyDescent="0.35">
      <c r="B43" s="37">
        <v>32</v>
      </c>
      <c r="C43" s="38" t="s">
        <v>37</v>
      </c>
      <c r="D43" s="14">
        <v>905760.00000000012</v>
      </c>
      <c r="E43" s="14">
        <v>159840</v>
      </c>
      <c r="F43" s="14">
        <v>66600</v>
      </c>
      <c r="G43" s="14">
        <v>66600</v>
      </c>
      <c r="H43" s="14">
        <v>133200</v>
      </c>
      <c r="I43" s="39">
        <v>1332000</v>
      </c>
      <c r="J43" s="40">
        <v>40.375</v>
      </c>
      <c r="K43" s="13">
        <v>630.36999999999989</v>
      </c>
    </row>
    <row r="44" spans="2:11" ht="18" customHeight="1" x14ac:dyDescent="0.35">
      <c r="B44" s="31">
        <v>33</v>
      </c>
      <c r="C44" s="32" t="s">
        <v>108</v>
      </c>
      <c r="D44" s="33">
        <v>640660.64</v>
      </c>
      <c r="E44" s="33">
        <v>113057.76</v>
      </c>
      <c r="F44" s="33">
        <v>47107.4</v>
      </c>
      <c r="G44" s="33">
        <v>47107.4</v>
      </c>
      <c r="H44" s="33">
        <v>94214.8</v>
      </c>
      <c r="I44" s="34">
        <v>942148</v>
      </c>
      <c r="J44" s="35">
        <v>7.2249999999999996</v>
      </c>
      <c r="K44" s="36">
        <v>637.59499999999991</v>
      </c>
    </row>
    <row r="45" spans="2:11" ht="18" customHeight="1" x14ac:dyDescent="0.35">
      <c r="B45" s="37">
        <v>34</v>
      </c>
      <c r="C45" s="38" t="s">
        <v>109</v>
      </c>
      <c r="D45" s="14">
        <v>1004703.4</v>
      </c>
      <c r="E45" s="14">
        <v>177300.6</v>
      </c>
      <c r="F45" s="14">
        <v>73875.25</v>
      </c>
      <c r="G45" s="14">
        <v>73875.25</v>
      </c>
      <c r="H45" s="14">
        <v>147750.5</v>
      </c>
      <c r="I45" s="39">
        <v>1477505</v>
      </c>
      <c r="J45" s="40">
        <v>33.704999999999998</v>
      </c>
      <c r="K45" s="13">
        <v>671.3</v>
      </c>
    </row>
    <row r="46" spans="2:11" ht="18" customHeight="1" x14ac:dyDescent="0.35">
      <c r="B46" s="31">
        <v>35</v>
      </c>
      <c r="C46" s="32" t="s">
        <v>110</v>
      </c>
      <c r="D46" s="33">
        <v>885360.00000000012</v>
      </c>
      <c r="E46" s="33">
        <v>156240</v>
      </c>
      <c r="F46" s="33">
        <v>65100</v>
      </c>
      <c r="G46" s="33">
        <v>65100</v>
      </c>
      <c r="H46" s="33">
        <v>130200</v>
      </c>
      <c r="I46" s="34">
        <v>1302000</v>
      </c>
      <c r="J46" s="35">
        <v>3.2050000000000001</v>
      </c>
      <c r="K46" s="36">
        <v>674.505</v>
      </c>
    </row>
    <row r="47" spans="2:11" ht="18" customHeight="1" x14ac:dyDescent="0.35">
      <c r="B47" s="37">
        <v>36</v>
      </c>
      <c r="C47" s="38" t="s">
        <v>111</v>
      </c>
      <c r="D47" s="14">
        <v>438185.2</v>
      </c>
      <c r="E47" s="14">
        <v>77326.8</v>
      </c>
      <c r="F47" s="14">
        <v>32219.5</v>
      </c>
      <c r="G47" s="14">
        <v>32219.5</v>
      </c>
      <c r="H47" s="14">
        <v>64439</v>
      </c>
      <c r="I47" s="39">
        <v>644390</v>
      </c>
      <c r="J47" s="40">
        <v>7.7149999999999999</v>
      </c>
      <c r="K47" s="13">
        <v>682.22</v>
      </c>
    </row>
    <row r="48" spans="2:11" ht="18" customHeight="1" x14ac:dyDescent="0.35">
      <c r="B48" s="31">
        <v>37</v>
      </c>
      <c r="C48" s="32" t="s">
        <v>112</v>
      </c>
      <c r="D48" s="33">
        <v>1078480</v>
      </c>
      <c r="E48" s="33">
        <v>190320</v>
      </c>
      <c r="F48" s="33">
        <v>79300</v>
      </c>
      <c r="G48" s="33">
        <v>79300</v>
      </c>
      <c r="H48" s="33">
        <v>158600</v>
      </c>
      <c r="I48" s="34">
        <v>1586000</v>
      </c>
      <c r="J48" s="35">
        <v>1.07</v>
      </c>
      <c r="K48" s="36">
        <v>683.29000000000008</v>
      </c>
    </row>
    <row r="49" spans="2:11" ht="18" customHeight="1" x14ac:dyDescent="0.35">
      <c r="B49" s="37">
        <v>38</v>
      </c>
      <c r="C49" s="38" t="s">
        <v>113</v>
      </c>
      <c r="D49" s="14">
        <v>441320.00000000012</v>
      </c>
      <c r="E49" s="14">
        <v>77880</v>
      </c>
      <c r="F49" s="14">
        <v>32450</v>
      </c>
      <c r="G49" s="14">
        <v>32450</v>
      </c>
      <c r="H49" s="14">
        <v>64900</v>
      </c>
      <c r="I49" s="39">
        <v>649000</v>
      </c>
      <c r="J49" s="40">
        <v>7.5449999999999999</v>
      </c>
      <c r="K49" s="13">
        <v>690.83500000000004</v>
      </c>
    </row>
    <row r="50" spans="2:11" ht="18" customHeight="1" x14ac:dyDescent="0.35">
      <c r="B50" s="31">
        <v>39</v>
      </c>
      <c r="C50" s="32" t="s">
        <v>40</v>
      </c>
      <c r="D50" s="33">
        <v>842010.00000000012</v>
      </c>
      <c r="E50" s="33">
        <v>148590</v>
      </c>
      <c r="F50" s="33">
        <v>61912.5</v>
      </c>
      <c r="G50" s="33">
        <v>61912.5</v>
      </c>
      <c r="H50" s="33">
        <v>123825</v>
      </c>
      <c r="I50" s="34">
        <v>1238250</v>
      </c>
      <c r="J50" s="35">
        <v>35.125</v>
      </c>
      <c r="K50" s="36">
        <v>725.96</v>
      </c>
    </row>
    <row r="51" spans="2:11" ht="18" customHeight="1" x14ac:dyDescent="0.35">
      <c r="B51" s="37">
        <v>40</v>
      </c>
      <c r="C51" s="38" t="s">
        <v>114</v>
      </c>
      <c r="D51" s="14">
        <v>349724</v>
      </c>
      <c r="E51" s="14">
        <v>61716</v>
      </c>
      <c r="F51" s="14">
        <v>25715</v>
      </c>
      <c r="G51" s="14">
        <v>25715</v>
      </c>
      <c r="H51" s="14">
        <v>51430</v>
      </c>
      <c r="I51" s="39">
        <v>514300</v>
      </c>
      <c r="J51" s="40">
        <v>16.88</v>
      </c>
      <c r="K51" s="13">
        <v>742.84</v>
      </c>
    </row>
    <row r="52" spans="2:11" ht="18" customHeight="1" x14ac:dyDescent="0.35">
      <c r="B52" s="31">
        <v>41</v>
      </c>
      <c r="C52" s="32" t="s">
        <v>115</v>
      </c>
      <c r="D52" s="33">
        <v>661429.20000000007</v>
      </c>
      <c r="E52" s="33">
        <v>116722.8</v>
      </c>
      <c r="F52" s="33">
        <v>48634.5</v>
      </c>
      <c r="G52" s="33">
        <v>48634.5</v>
      </c>
      <c r="H52" s="33">
        <v>97269</v>
      </c>
      <c r="I52" s="34">
        <v>972690</v>
      </c>
      <c r="J52" s="35">
        <v>17.684999999999999</v>
      </c>
      <c r="K52" s="36">
        <v>760.52499999999998</v>
      </c>
    </row>
    <row r="53" spans="2:11" ht="25" customHeight="1" x14ac:dyDescent="0.35">
      <c r="B53" s="41"/>
      <c r="C53" s="42" t="s">
        <v>116</v>
      </c>
      <c r="D53" s="23">
        <v>29238616.879999999</v>
      </c>
      <c r="E53" s="23">
        <v>5159755.92</v>
      </c>
      <c r="F53" s="23">
        <v>2149898.2999999998</v>
      </c>
      <c r="G53" s="23">
        <v>2149898.2999999998</v>
      </c>
      <c r="H53" s="23">
        <v>4299796.6000000006</v>
      </c>
      <c r="I53" s="43">
        <v>42997966</v>
      </c>
      <c r="J53" s="44">
        <v>933.82</v>
      </c>
      <c r="K53" s="41"/>
    </row>
    <row r="54" spans="2:11" ht="10" customHeight="1" x14ac:dyDescent="0.35"/>
    <row r="55" spans="2:11" ht="22" customHeight="1" x14ac:dyDescent="0.35">
      <c r="B55" s="208" t="s">
        <v>117</v>
      </c>
      <c r="C55" s="155"/>
      <c r="D55" s="155"/>
      <c r="E55" s="155"/>
      <c r="F55" s="155"/>
      <c r="G55" s="155"/>
      <c r="H55" s="155"/>
      <c r="I55" s="155"/>
      <c r="J55" s="155"/>
      <c r="K55" s="155"/>
    </row>
    <row r="56" spans="2:11" x14ac:dyDescent="0.35">
      <c r="B56" s="1" t="s">
        <v>118</v>
      </c>
      <c r="C56" s="148" t="s">
        <v>119</v>
      </c>
      <c r="D56" s="196"/>
      <c r="E56" s="196"/>
      <c r="F56" s="196"/>
      <c r="G56" s="149"/>
      <c r="H56" s="148" t="s">
        <v>120</v>
      </c>
      <c r="I56" s="149"/>
      <c r="J56" s="148" t="s">
        <v>121</v>
      </c>
      <c r="K56" s="149"/>
    </row>
    <row r="57" spans="2:11" ht="18" customHeight="1" x14ac:dyDescent="0.35">
      <c r="B57" s="45" t="s">
        <v>122</v>
      </c>
      <c r="C57" s="215" t="s">
        <v>123</v>
      </c>
      <c r="D57" s="196"/>
      <c r="E57" s="196"/>
      <c r="F57" s="196"/>
      <c r="G57" s="149"/>
      <c r="H57" s="206">
        <v>1342794</v>
      </c>
      <c r="I57" s="149"/>
      <c r="J57" s="207">
        <v>2.3160355885419402E-2</v>
      </c>
      <c r="K57" s="149"/>
    </row>
    <row r="58" spans="2:11" ht="18" customHeight="1" x14ac:dyDescent="0.35">
      <c r="B58" s="46" t="s">
        <v>122</v>
      </c>
      <c r="C58" s="205" t="s">
        <v>124</v>
      </c>
      <c r="D58" s="196"/>
      <c r="E58" s="196"/>
      <c r="F58" s="196"/>
      <c r="G58" s="149"/>
      <c r="H58" s="209">
        <v>1456540</v>
      </c>
      <c r="I58" s="149"/>
      <c r="J58" s="203">
        <v>2.5122233761357859E-2</v>
      </c>
      <c r="K58" s="149"/>
    </row>
    <row r="59" spans="2:11" ht="18" customHeight="1" x14ac:dyDescent="0.35">
      <c r="B59" s="45" t="s">
        <v>125</v>
      </c>
      <c r="C59" s="215" t="s">
        <v>126</v>
      </c>
      <c r="D59" s="196"/>
      <c r="E59" s="196"/>
      <c r="F59" s="196"/>
      <c r="G59" s="149"/>
      <c r="H59" s="206">
        <v>875453</v>
      </c>
      <c r="I59" s="149"/>
      <c r="J59" s="207">
        <v>1.5099712272290511E-2</v>
      </c>
      <c r="K59" s="149"/>
    </row>
    <row r="60" spans="2:11" ht="18" customHeight="1" x14ac:dyDescent="0.35">
      <c r="B60" s="46" t="s">
        <v>125</v>
      </c>
      <c r="C60" s="205" t="s">
        <v>127</v>
      </c>
      <c r="D60" s="196"/>
      <c r="E60" s="196"/>
      <c r="F60" s="196"/>
      <c r="G60" s="149"/>
      <c r="H60" s="209">
        <v>1088269</v>
      </c>
      <c r="I60" s="149"/>
      <c r="J60" s="203">
        <v>1.8770338070522721E-2</v>
      </c>
      <c r="K60" s="149"/>
    </row>
    <row r="61" spans="2:11" ht="18" customHeight="1" x14ac:dyDescent="0.35">
      <c r="B61" s="45" t="s">
        <v>128</v>
      </c>
      <c r="C61" s="215" t="s">
        <v>129</v>
      </c>
      <c r="D61" s="196"/>
      <c r="E61" s="196"/>
      <c r="F61" s="196"/>
      <c r="G61" s="149"/>
      <c r="H61" s="206">
        <v>1037268</v>
      </c>
      <c r="I61" s="149"/>
      <c r="J61" s="207">
        <v>1.7890678710626651E-2</v>
      </c>
      <c r="K61" s="149"/>
    </row>
    <row r="62" spans="2:11" ht="18" customHeight="1" x14ac:dyDescent="0.35">
      <c r="B62" s="46" t="s">
        <v>128</v>
      </c>
      <c r="C62" s="205" t="s">
        <v>130</v>
      </c>
      <c r="D62" s="196"/>
      <c r="E62" s="196"/>
      <c r="F62" s="196"/>
      <c r="G62" s="149"/>
      <c r="H62" s="209">
        <v>1037268</v>
      </c>
      <c r="I62" s="149"/>
      <c r="J62" s="203">
        <v>1.7890678710626651E-2</v>
      </c>
      <c r="K62" s="149"/>
    </row>
    <row r="63" spans="2:11" ht="18" customHeight="1" x14ac:dyDescent="0.35">
      <c r="B63" s="45" t="s">
        <v>131</v>
      </c>
      <c r="C63" s="215" t="s">
        <v>132</v>
      </c>
      <c r="D63" s="196"/>
      <c r="E63" s="196"/>
      <c r="F63" s="196"/>
      <c r="G63" s="149"/>
      <c r="H63" s="206">
        <v>1436000</v>
      </c>
      <c r="I63" s="149"/>
      <c r="J63" s="207">
        <v>2.4767962212716359E-2</v>
      </c>
      <c r="K63" s="149"/>
    </row>
    <row r="64" spans="2:11" ht="18" customHeight="1" x14ac:dyDescent="0.35">
      <c r="B64" s="47" t="s">
        <v>133</v>
      </c>
      <c r="C64" s="211" t="s">
        <v>134</v>
      </c>
      <c r="D64" s="196"/>
      <c r="E64" s="196"/>
      <c r="F64" s="196"/>
      <c r="G64" s="149"/>
      <c r="H64" s="214">
        <v>1410898</v>
      </c>
      <c r="I64" s="149"/>
      <c r="J64" s="203">
        <v>2.433500581476121E-2</v>
      </c>
      <c r="K64" s="149"/>
    </row>
    <row r="65" spans="2:11" ht="25" customHeight="1" x14ac:dyDescent="0.35">
      <c r="B65" s="41"/>
      <c r="C65" s="213" t="s">
        <v>135</v>
      </c>
      <c r="D65" s="196"/>
      <c r="E65" s="196"/>
      <c r="F65" s="196"/>
      <c r="G65" s="149"/>
      <c r="H65" s="221">
        <v>9684490</v>
      </c>
      <c r="I65" s="149"/>
      <c r="J65" s="217">
        <v>0.16703696543832139</v>
      </c>
      <c r="K65" s="149"/>
    </row>
  </sheetData>
  <mergeCells count="50">
    <mergeCell ref="B2:K2"/>
    <mergeCell ref="C61:G61"/>
    <mergeCell ref="H65:I65"/>
    <mergeCell ref="J56:K56"/>
    <mergeCell ref="D8:E8"/>
    <mergeCell ref="B6:C6"/>
    <mergeCell ref="H62:I62"/>
    <mergeCell ref="J62:K62"/>
    <mergeCell ref="C57:G57"/>
    <mergeCell ref="H8:I8"/>
    <mergeCell ref="J58:K58"/>
    <mergeCell ref="B10:K10"/>
    <mergeCell ref="J61:K61"/>
    <mergeCell ref="B3:K3"/>
    <mergeCell ref="F8:G8"/>
    <mergeCell ref="C56:G56"/>
    <mergeCell ref="C59:G59"/>
    <mergeCell ref="D7:E7"/>
    <mergeCell ref="H7:I7"/>
    <mergeCell ref="J7:K7"/>
    <mergeCell ref="H57:I57"/>
    <mergeCell ref="C65:G65"/>
    <mergeCell ref="J6:K6"/>
    <mergeCell ref="H64:I64"/>
    <mergeCell ref="H60:I60"/>
    <mergeCell ref="C63:G63"/>
    <mergeCell ref="J8:K8"/>
    <mergeCell ref="J65:K65"/>
    <mergeCell ref="H61:I61"/>
    <mergeCell ref="B8:C8"/>
    <mergeCell ref="C60:G60"/>
    <mergeCell ref="J63:K63"/>
    <mergeCell ref="B5:K5"/>
    <mergeCell ref="H56:I56"/>
    <mergeCell ref="D6:E6"/>
    <mergeCell ref="C64:G64"/>
    <mergeCell ref="H59:I59"/>
    <mergeCell ref="H6:I6"/>
    <mergeCell ref="F6:G6"/>
    <mergeCell ref="B55:K55"/>
    <mergeCell ref="J59:K59"/>
    <mergeCell ref="H58:I58"/>
    <mergeCell ref="J60:K60"/>
    <mergeCell ref="F7:G7"/>
    <mergeCell ref="J64:K64"/>
    <mergeCell ref="B7:C7"/>
    <mergeCell ref="C62:G62"/>
    <mergeCell ref="C58:G58"/>
    <mergeCell ref="H63:I63"/>
    <mergeCell ref="J57:K5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67"/>
  <sheetViews>
    <sheetView showGridLines="0" topLeftCell="A36" workbookViewId="0">
      <selection activeCell="H9" sqref="H9"/>
    </sheetView>
  </sheetViews>
  <sheetFormatPr baseColWidth="10" defaultColWidth="8.7265625" defaultRowHeight="14.5" x14ac:dyDescent="0.35"/>
  <cols>
    <col min="1" max="1" width="3" customWidth="1"/>
    <col min="2" max="2" width="24" customWidth="1"/>
    <col min="3" max="11" width="15" customWidth="1"/>
  </cols>
  <sheetData>
    <row r="1" spans="2:11" ht="6" customHeight="1" x14ac:dyDescent="0.35"/>
    <row r="2" spans="2:11" ht="40" customHeight="1" x14ac:dyDescent="0.35">
      <c r="B2" s="201" t="s">
        <v>136</v>
      </c>
      <c r="C2" s="155"/>
      <c r="D2" s="155"/>
      <c r="E2" s="155"/>
      <c r="F2" s="155"/>
      <c r="G2" s="155"/>
      <c r="H2" s="155"/>
      <c r="I2" s="155"/>
      <c r="J2" s="155"/>
      <c r="K2" s="155"/>
    </row>
    <row r="3" spans="2:11" ht="20" customHeight="1" x14ac:dyDescent="0.35">
      <c r="B3" s="166" t="s">
        <v>137</v>
      </c>
      <c r="C3" s="155"/>
      <c r="D3" s="155"/>
      <c r="E3" s="155"/>
      <c r="F3" s="155"/>
      <c r="G3" s="155"/>
      <c r="H3" s="155"/>
      <c r="I3" s="155"/>
      <c r="J3" s="155"/>
      <c r="K3" s="155"/>
    </row>
    <row r="4" spans="2:11" ht="8" customHeight="1" x14ac:dyDescent="0.35"/>
    <row r="5" spans="2:11" ht="22" customHeight="1" x14ac:dyDescent="0.35">
      <c r="B5" s="210" t="s">
        <v>65</v>
      </c>
      <c r="C5" s="155"/>
      <c r="D5" s="155"/>
      <c r="E5" s="155"/>
      <c r="F5" s="155"/>
      <c r="G5" s="155"/>
      <c r="H5" s="155"/>
      <c r="I5" s="155"/>
      <c r="J5" s="155"/>
      <c r="K5" s="155"/>
    </row>
    <row r="6" spans="2:11" ht="35" customHeight="1" x14ac:dyDescent="0.35">
      <c r="B6" s="158" t="s">
        <v>66</v>
      </c>
      <c r="C6" s="155"/>
      <c r="D6" s="212" t="s">
        <v>138</v>
      </c>
      <c r="E6" s="155"/>
      <c r="F6" s="246" t="s">
        <v>139</v>
      </c>
      <c r="G6" s="247"/>
      <c r="H6" s="212" t="s">
        <v>69</v>
      </c>
      <c r="I6" s="155"/>
      <c r="J6" s="172" t="s">
        <v>70</v>
      </c>
      <c r="K6" s="155"/>
    </row>
    <row r="7" spans="2:11" ht="40" customHeight="1" x14ac:dyDescent="0.35">
      <c r="B7" s="204">
        <v>1116.9000000000001</v>
      </c>
      <c r="C7" s="155"/>
      <c r="D7" s="223">
        <v>183.08</v>
      </c>
      <c r="E7" s="155"/>
      <c r="F7" s="249">
        <v>0.1960549142232979</v>
      </c>
      <c r="G7" s="247"/>
      <c r="H7" s="219">
        <v>61827177.149999999</v>
      </c>
      <c r="I7" s="155"/>
      <c r="J7" s="220">
        <v>10827189</v>
      </c>
      <c r="K7" s="155"/>
    </row>
    <row r="8" spans="2:11" ht="14" customHeight="1" x14ac:dyDescent="0.35">
      <c r="B8" s="216"/>
      <c r="C8" s="155"/>
      <c r="D8" s="216"/>
      <c r="E8" s="155"/>
      <c r="F8" s="216"/>
      <c r="G8" s="155"/>
      <c r="H8" s="216"/>
      <c r="I8" s="155"/>
      <c r="J8" s="216"/>
      <c r="K8" s="155"/>
    </row>
    <row r="9" spans="2:11" ht="10" customHeight="1" x14ac:dyDescent="0.35"/>
    <row r="10" spans="2:11" ht="22" customHeight="1" x14ac:dyDescent="0.35">
      <c r="B10" s="164" t="s">
        <v>140</v>
      </c>
      <c r="C10" s="155"/>
      <c r="D10" s="155"/>
      <c r="E10" s="155"/>
      <c r="F10" s="155"/>
      <c r="G10" s="155"/>
      <c r="H10" s="155"/>
      <c r="I10" s="155"/>
      <c r="J10" s="155"/>
      <c r="K10" s="155"/>
    </row>
    <row r="11" spans="2:11" ht="35" customHeight="1" x14ac:dyDescent="0.35">
      <c r="B11" s="1" t="s">
        <v>72</v>
      </c>
      <c r="C11" s="1" t="s">
        <v>33</v>
      </c>
      <c r="D11" s="1" t="s">
        <v>73</v>
      </c>
      <c r="E11" s="1" t="s">
        <v>74</v>
      </c>
      <c r="F11" s="1" t="s">
        <v>75</v>
      </c>
      <c r="G11" s="1" t="s">
        <v>76</v>
      </c>
      <c r="H11" s="1" t="s">
        <v>77</v>
      </c>
      <c r="I11" s="1" t="s">
        <v>78</v>
      </c>
      <c r="J11" s="1" t="s">
        <v>45</v>
      </c>
      <c r="K11" s="1" t="s">
        <v>79</v>
      </c>
    </row>
    <row r="12" spans="2:11" ht="18" customHeight="1" x14ac:dyDescent="0.35">
      <c r="B12" s="31">
        <v>1</v>
      </c>
      <c r="C12" s="32" t="s">
        <v>39</v>
      </c>
      <c r="D12" s="33">
        <v>1150050</v>
      </c>
      <c r="E12" s="33">
        <v>226525</v>
      </c>
      <c r="F12" s="33">
        <v>87125</v>
      </c>
      <c r="G12" s="33">
        <v>104550</v>
      </c>
      <c r="H12" s="33">
        <v>174250</v>
      </c>
      <c r="I12" s="34">
        <v>1742500</v>
      </c>
      <c r="J12" s="35">
        <v>36.704999999999998</v>
      </c>
      <c r="K12" s="36">
        <v>36.704999999999998</v>
      </c>
    </row>
    <row r="13" spans="2:11" ht="18" customHeight="1" x14ac:dyDescent="0.35">
      <c r="B13" s="37">
        <v>2</v>
      </c>
      <c r="C13" s="38" t="s">
        <v>80</v>
      </c>
      <c r="D13" s="14">
        <v>181170</v>
      </c>
      <c r="E13" s="14">
        <v>35685</v>
      </c>
      <c r="F13" s="14">
        <v>13725</v>
      </c>
      <c r="G13" s="14">
        <v>16470</v>
      </c>
      <c r="H13" s="14">
        <v>27450</v>
      </c>
      <c r="I13" s="39">
        <v>274500</v>
      </c>
      <c r="J13" s="40">
        <v>11.305</v>
      </c>
      <c r="K13" s="13">
        <v>48.01</v>
      </c>
    </row>
    <row r="14" spans="2:11" ht="18" customHeight="1" x14ac:dyDescent="0.35">
      <c r="B14" s="31">
        <v>3</v>
      </c>
      <c r="C14" s="32" t="s">
        <v>141</v>
      </c>
      <c r="D14" s="33">
        <v>251790.66</v>
      </c>
      <c r="E14" s="33">
        <v>49595.13</v>
      </c>
      <c r="F14" s="33">
        <v>19075.05</v>
      </c>
      <c r="G14" s="33">
        <v>22890.06</v>
      </c>
      <c r="H14" s="33">
        <v>38150.1</v>
      </c>
      <c r="I14" s="34">
        <v>381501</v>
      </c>
      <c r="J14" s="35">
        <v>1.57</v>
      </c>
      <c r="K14" s="36">
        <v>49.58</v>
      </c>
    </row>
    <row r="15" spans="2:11" ht="18" customHeight="1" x14ac:dyDescent="0.35">
      <c r="B15" s="37">
        <v>4</v>
      </c>
      <c r="C15" s="38" t="s">
        <v>82</v>
      </c>
      <c r="D15" s="14">
        <v>864831</v>
      </c>
      <c r="E15" s="14">
        <v>170345.5</v>
      </c>
      <c r="F15" s="14">
        <v>65517.5</v>
      </c>
      <c r="G15" s="14">
        <v>78621</v>
      </c>
      <c r="H15" s="14">
        <v>131035</v>
      </c>
      <c r="I15" s="39">
        <v>1310350</v>
      </c>
      <c r="J15" s="40">
        <v>25.18</v>
      </c>
      <c r="K15" s="13">
        <v>74.759999999999991</v>
      </c>
    </row>
    <row r="16" spans="2:11" ht="18" customHeight="1" x14ac:dyDescent="0.35">
      <c r="B16" s="31">
        <v>5</v>
      </c>
      <c r="C16" s="32" t="s">
        <v>83</v>
      </c>
      <c r="D16" s="33">
        <v>179289</v>
      </c>
      <c r="E16" s="33">
        <v>35314.5</v>
      </c>
      <c r="F16" s="33">
        <v>13582.5</v>
      </c>
      <c r="G16" s="33">
        <v>16299</v>
      </c>
      <c r="H16" s="33">
        <v>27165</v>
      </c>
      <c r="I16" s="34">
        <v>271650</v>
      </c>
      <c r="J16" s="35">
        <v>10.33</v>
      </c>
      <c r="K16" s="36">
        <v>85.089999999999989</v>
      </c>
    </row>
    <row r="17" spans="2:11" ht="18" customHeight="1" x14ac:dyDescent="0.35">
      <c r="B17" s="37">
        <v>6</v>
      </c>
      <c r="C17" s="38" t="s">
        <v>84</v>
      </c>
      <c r="D17" s="14">
        <v>897930</v>
      </c>
      <c r="E17" s="14">
        <v>176865</v>
      </c>
      <c r="F17" s="14">
        <v>68025</v>
      </c>
      <c r="G17" s="14">
        <v>81630</v>
      </c>
      <c r="H17" s="14">
        <v>136050</v>
      </c>
      <c r="I17" s="39">
        <v>1360500</v>
      </c>
      <c r="J17" s="40">
        <v>32.090000000000003</v>
      </c>
      <c r="K17" s="13">
        <v>117.18</v>
      </c>
    </row>
    <row r="18" spans="2:11" ht="18" customHeight="1" x14ac:dyDescent="0.35">
      <c r="B18" s="31">
        <v>7</v>
      </c>
      <c r="C18" s="32" t="s">
        <v>85</v>
      </c>
      <c r="D18" s="33">
        <v>901348.8</v>
      </c>
      <c r="E18" s="33">
        <v>177538.4</v>
      </c>
      <c r="F18" s="33">
        <v>68284</v>
      </c>
      <c r="G18" s="33">
        <v>81940.800000000003</v>
      </c>
      <c r="H18" s="33">
        <v>136568</v>
      </c>
      <c r="I18" s="34">
        <v>1365680</v>
      </c>
      <c r="J18" s="35">
        <v>21.285</v>
      </c>
      <c r="K18" s="36">
        <v>138.465</v>
      </c>
    </row>
    <row r="19" spans="2:11" ht="18" customHeight="1" x14ac:dyDescent="0.35">
      <c r="B19" s="37">
        <v>8</v>
      </c>
      <c r="C19" s="38" t="s">
        <v>142</v>
      </c>
      <c r="D19" s="14">
        <v>358102.8</v>
      </c>
      <c r="E19" s="14">
        <v>70535.400000000009</v>
      </c>
      <c r="F19" s="14">
        <v>27129</v>
      </c>
      <c r="G19" s="14">
        <v>32554.799999999999</v>
      </c>
      <c r="H19" s="14">
        <v>54258</v>
      </c>
      <c r="I19" s="39">
        <v>542580</v>
      </c>
      <c r="J19" s="40">
        <v>2.96</v>
      </c>
      <c r="K19" s="13">
        <v>141.42500000000001</v>
      </c>
    </row>
    <row r="20" spans="2:11" ht="18" customHeight="1" x14ac:dyDescent="0.35">
      <c r="B20" s="31">
        <v>9</v>
      </c>
      <c r="C20" s="32" t="s">
        <v>143</v>
      </c>
      <c r="D20" s="33">
        <v>806427.60000000009</v>
      </c>
      <c r="E20" s="33">
        <v>158841.79999999999</v>
      </c>
      <c r="F20" s="33">
        <v>61093</v>
      </c>
      <c r="G20" s="33">
        <v>73311.599999999991</v>
      </c>
      <c r="H20" s="33">
        <v>122186</v>
      </c>
      <c r="I20" s="34">
        <v>1221860</v>
      </c>
      <c r="J20" s="35">
        <v>13.52</v>
      </c>
      <c r="K20" s="36">
        <v>154.94499999999999</v>
      </c>
    </row>
    <row r="21" spans="2:11" ht="18" customHeight="1" x14ac:dyDescent="0.35">
      <c r="B21" s="37">
        <v>10</v>
      </c>
      <c r="C21" s="38" t="s">
        <v>144</v>
      </c>
      <c r="D21" s="14">
        <v>330132</v>
      </c>
      <c r="E21" s="14">
        <v>65026</v>
      </c>
      <c r="F21" s="14">
        <v>25010</v>
      </c>
      <c r="G21" s="14">
        <v>30012</v>
      </c>
      <c r="H21" s="14">
        <v>50020</v>
      </c>
      <c r="I21" s="39">
        <v>500200</v>
      </c>
      <c r="J21" s="40">
        <v>4.2050000000000001</v>
      </c>
      <c r="K21" s="13">
        <v>159.15</v>
      </c>
    </row>
    <row r="22" spans="2:11" ht="18" customHeight="1" x14ac:dyDescent="0.35">
      <c r="B22" s="31">
        <v>11</v>
      </c>
      <c r="C22" s="32" t="s">
        <v>145</v>
      </c>
      <c r="D22" s="33">
        <v>726118.8</v>
      </c>
      <c r="E22" s="33">
        <v>143023.4</v>
      </c>
      <c r="F22" s="33">
        <v>55009</v>
      </c>
      <c r="G22" s="33">
        <v>66010.8</v>
      </c>
      <c r="H22" s="33">
        <v>110018</v>
      </c>
      <c r="I22" s="34">
        <v>1100180</v>
      </c>
      <c r="J22" s="35">
        <v>8.0449999999999999</v>
      </c>
      <c r="K22" s="36">
        <v>167.19499999999999</v>
      </c>
    </row>
    <row r="23" spans="2:11" ht="18" customHeight="1" x14ac:dyDescent="0.35">
      <c r="B23" s="37">
        <v>12</v>
      </c>
      <c r="C23" s="38" t="s">
        <v>88</v>
      </c>
      <c r="D23" s="14">
        <v>687786</v>
      </c>
      <c r="E23" s="14">
        <v>135473</v>
      </c>
      <c r="F23" s="14">
        <v>52105</v>
      </c>
      <c r="G23" s="14">
        <v>62526</v>
      </c>
      <c r="H23" s="14">
        <v>104210</v>
      </c>
      <c r="I23" s="39">
        <v>1042100</v>
      </c>
      <c r="J23" s="40">
        <v>29.52</v>
      </c>
      <c r="K23" s="13">
        <v>196.715</v>
      </c>
    </row>
    <row r="24" spans="2:11" ht="18" customHeight="1" x14ac:dyDescent="0.35">
      <c r="B24" s="31">
        <v>13</v>
      </c>
      <c r="C24" s="32" t="s">
        <v>89</v>
      </c>
      <c r="D24" s="33">
        <v>776806.8</v>
      </c>
      <c r="E24" s="33">
        <v>153007.4</v>
      </c>
      <c r="F24" s="33">
        <v>58849</v>
      </c>
      <c r="G24" s="33">
        <v>70618.8</v>
      </c>
      <c r="H24" s="33">
        <v>117698</v>
      </c>
      <c r="I24" s="34">
        <v>1176980</v>
      </c>
      <c r="J24" s="35">
        <v>16.234999999999999</v>
      </c>
      <c r="K24" s="36">
        <v>212.95</v>
      </c>
    </row>
    <row r="25" spans="2:11" ht="18" customHeight="1" x14ac:dyDescent="0.35">
      <c r="B25" s="37">
        <v>14</v>
      </c>
      <c r="C25" s="38" t="s">
        <v>146</v>
      </c>
      <c r="D25" s="14">
        <v>559138.80000000005</v>
      </c>
      <c r="E25" s="14">
        <v>110133.4</v>
      </c>
      <c r="F25" s="14">
        <v>42359</v>
      </c>
      <c r="G25" s="14">
        <v>50830.8</v>
      </c>
      <c r="H25" s="14">
        <v>84718</v>
      </c>
      <c r="I25" s="39">
        <v>847180</v>
      </c>
      <c r="J25" s="40">
        <v>12.61</v>
      </c>
      <c r="K25" s="13">
        <v>225.56000000000009</v>
      </c>
    </row>
    <row r="26" spans="2:11" ht="18" customHeight="1" x14ac:dyDescent="0.35">
      <c r="B26" s="31">
        <v>15</v>
      </c>
      <c r="C26" s="32" t="s">
        <v>91</v>
      </c>
      <c r="D26" s="33">
        <v>884459.4</v>
      </c>
      <c r="E26" s="33">
        <v>174211.7</v>
      </c>
      <c r="F26" s="33">
        <v>67004.5</v>
      </c>
      <c r="G26" s="33">
        <v>80405.399999999994</v>
      </c>
      <c r="H26" s="33">
        <v>134009</v>
      </c>
      <c r="I26" s="34">
        <v>1340090</v>
      </c>
      <c r="J26" s="35">
        <v>26.765000000000001</v>
      </c>
      <c r="K26" s="36">
        <v>252.32499999999999</v>
      </c>
    </row>
    <row r="27" spans="2:11" ht="18" customHeight="1" x14ac:dyDescent="0.35">
      <c r="B27" s="37">
        <v>16</v>
      </c>
      <c r="C27" s="38" t="s">
        <v>92</v>
      </c>
      <c r="D27" s="14">
        <v>394515</v>
      </c>
      <c r="E27" s="14">
        <v>77707.5</v>
      </c>
      <c r="F27" s="14">
        <v>29887.5</v>
      </c>
      <c r="G27" s="14">
        <v>35865</v>
      </c>
      <c r="H27" s="14">
        <v>59775</v>
      </c>
      <c r="I27" s="39">
        <v>597750</v>
      </c>
      <c r="J27" s="40">
        <v>12.88</v>
      </c>
      <c r="K27" s="13">
        <v>265.20499999999998</v>
      </c>
    </row>
    <row r="28" spans="2:11" ht="18" customHeight="1" x14ac:dyDescent="0.35">
      <c r="B28" s="31">
        <v>17</v>
      </c>
      <c r="C28" s="32" t="s">
        <v>93</v>
      </c>
      <c r="D28" s="33">
        <v>1170713.28</v>
      </c>
      <c r="E28" s="33">
        <v>230595.04</v>
      </c>
      <c r="F28" s="33">
        <v>88690.400000000009</v>
      </c>
      <c r="G28" s="33">
        <v>106428.48</v>
      </c>
      <c r="H28" s="33">
        <v>177380.8</v>
      </c>
      <c r="I28" s="34">
        <v>1773808</v>
      </c>
      <c r="J28" s="35">
        <v>26.524999999999999</v>
      </c>
      <c r="K28" s="36">
        <v>291.73</v>
      </c>
    </row>
    <row r="29" spans="2:11" ht="18" customHeight="1" x14ac:dyDescent="0.35">
      <c r="B29" s="37">
        <v>18</v>
      </c>
      <c r="C29" s="38" t="s">
        <v>95</v>
      </c>
      <c r="D29" s="14">
        <v>1053716.3999999999</v>
      </c>
      <c r="E29" s="14">
        <v>207550.2</v>
      </c>
      <c r="F29" s="14">
        <v>79827</v>
      </c>
      <c r="G29" s="14">
        <v>95792.4</v>
      </c>
      <c r="H29" s="14">
        <v>159654</v>
      </c>
      <c r="I29" s="39">
        <v>1596540</v>
      </c>
      <c r="J29" s="40">
        <v>25.285</v>
      </c>
      <c r="K29" s="13">
        <v>317.01499999999999</v>
      </c>
    </row>
    <row r="30" spans="2:11" ht="18" customHeight="1" x14ac:dyDescent="0.35">
      <c r="B30" s="31">
        <v>19</v>
      </c>
      <c r="C30" s="32" t="s">
        <v>96</v>
      </c>
      <c r="D30" s="33">
        <v>776806.8</v>
      </c>
      <c r="E30" s="33">
        <v>153007.4</v>
      </c>
      <c r="F30" s="33">
        <v>58849</v>
      </c>
      <c r="G30" s="33">
        <v>70618.8</v>
      </c>
      <c r="H30" s="33">
        <v>117698</v>
      </c>
      <c r="I30" s="34">
        <v>1176980</v>
      </c>
      <c r="J30" s="35">
        <v>16.704999999999998</v>
      </c>
      <c r="K30" s="36">
        <v>333.72</v>
      </c>
    </row>
    <row r="31" spans="2:11" ht="18" customHeight="1" x14ac:dyDescent="0.35">
      <c r="B31" s="37">
        <v>20</v>
      </c>
      <c r="C31" s="38" t="s">
        <v>97</v>
      </c>
      <c r="D31" s="14">
        <v>960587.10000000009</v>
      </c>
      <c r="E31" s="14">
        <v>189206.55</v>
      </c>
      <c r="F31" s="14">
        <v>72771.75</v>
      </c>
      <c r="G31" s="14">
        <v>87326.099999999991</v>
      </c>
      <c r="H31" s="14">
        <v>145543.5</v>
      </c>
      <c r="I31" s="39">
        <v>1455435</v>
      </c>
      <c r="J31" s="40">
        <v>25.265000000000001</v>
      </c>
      <c r="K31" s="13">
        <v>358.98500000000001</v>
      </c>
    </row>
    <row r="32" spans="2:11" ht="18" customHeight="1" x14ac:dyDescent="0.35">
      <c r="B32" s="31">
        <v>21</v>
      </c>
      <c r="C32" s="32" t="s">
        <v>98</v>
      </c>
      <c r="D32" s="33">
        <v>134310</v>
      </c>
      <c r="E32" s="33">
        <v>26455</v>
      </c>
      <c r="F32" s="33">
        <v>10175</v>
      </c>
      <c r="G32" s="33">
        <v>12210</v>
      </c>
      <c r="H32" s="33">
        <v>20350</v>
      </c>
      <c r="I32" s="34">
        <v>203500</v>
      </c>
      <c r="J32" s="35">
        <v>3.28</v>
      </c>
      <c r="K32" s="36">
        <v>362.26499999999999</v>
      </c>
    </row>
    <row r="33" spans="2:11" ht="18" customHeight="1" x14ac:dyDescent="0.35">
      <c r="B33" s="37">
        <v>22</v>
      </c>
      <c r="C33" s="38" t="s">
        <v>99</v>
      </c>
      <c r="D33" s="14">
        <v>1203741</v>
      </c>
      <c r="E33" s="14">
        <v>237100.5</v>
      </c>
      <c r="F33" s="14">
        <v>91192.5</v>
      </c>
      <c r="G33" s="14">
        <v>109431</v>
      </c>
      <c r="H33" s="14">
        <v>182385</v>
      </c>
      <c r="I33" s="39">
        <v>1823850</v>
      </c>
      <c r="J33" s="40">
        <v>22.54</v>
      </c>
      <c r="K33" s="13">
        <v>384.80500000000001</v>
      </c>
    </row>
    <row r="34" spans="2:11" ht="18" customHeight="1" x14ac:dyDescent="0.35">
      <c r="B34" s="31">
        <v>23</v>
      </c>
      <c r="C34" s="32" t="s">
        <v>100</v>
      </c>
      <c r="D34" s="33">
        <v>160432.79999999999</v>
      </c>
      <c r="E34" s="33">
        <v>31600.400000000001</v>
      </c>
      <c r="F34" s="33">
        <v>12154</v>
      </c>
      <c r="G34" s="33">
        <v>14584.8</v>
      </c>
      <c r="H34" s="33">
        <v>24308</v>
      </c>
      <c r="I34" s="34">
        <v>243080</v>
      </c>
      <c r="J34" s="35">
        <v>16.88</v>
      </c>
      <c r="K34" s="36">
        <v>401.685</v>
      </c>
    </row>
    <row r="35" spans="2:11" ht="18" customHeight="1" x14ac:dyDescent="0.35">
      <c r="B35" s="37">
        <v>24</v>
      </c>
      <c r="C35" s="38" t="s">
        <v>101</v>
      </c>
      <c r="D35" s="14">
        <v>429660</v>
      </c>
      <c r="E35" s="14">
        <v>84630</v>
      </c>
      <c r="F35" s="14">
        <v>32550</v>
      </c>
      <c r="G35" s="14">
        <v>39060</v>
      </c>
      <c r="H35" s="14">
        <v>65100</v>
      </c>
      <c r="I35" s="39">
        <v>651000</v>
      </c>
      <c r="J35" s="40">
        <v>10.585000000000001</v>
      </c>
      <c r="K35" s="13">
        <v>412.27</v>
      </c>
    </row>
    <row r="36" spans="2:11" ht="18" customHeight="1" x14ac:dyDescent="0.35">
      <c r="B36" s="31">
        <v>25</v>
      </c>
      <c r="C36" s="32" t="s">
        <v>102</v>
      </c>
      <c r="D36" s="33">
        <v>1353066</v>
      </c>
      <c r="E36" s="33">
        <v>266513</v>
      </c>
      <c r="F36" s="33">
        <v>102505</v>
      </c>
      <c r="G36" s="33">
        <v>123006</v>
      </c>
      <c r="H36" s="33">
        <v>205010</v>
      </c>
      <c r="I36" s="34">
        <v>2050100</v>
      </c>
      <c r="J36" s="35">
        <v>33.33</v>
      </c>
      <c r="K36" s="36">
        <v>445.6</v>
      </c>
    </row>
    <row r="37" spans="2:11" ht="18" customHeight="1" x14ac:dyDescent="0.35">
      <c r="B37" s="37">
        <v>26</v>
      </c>
      <c r="C37" s="38" t="s">
        <v>38</v>
      </c>
      <c r="D37" s="14">
        <v>1118040</v>
      </c>
      <c r="E37" s="14">
        <v>220220</v>
      </c>
      <c r="F37" s="14">
        <v>84700</v>
      </c>
      <c r="G37" s="14">
        <v>101640</v>
      </c>
      <c r="H37" s="14">
        <v>169400</v>
      </c>
      <c r="I37" s="39">
        <v>1694000</v>
      </c>
      <c r="J37" s="40">
        <v>37.704999999999998</v>
      </c>
      <c r="K37" s="13">
        <v>483.30499999999989</v>
      </c>
    </row>
    <row r="38" spans="2:11" ht="18" customHeight="1" x14ac:dyDescent="0.35">
      <c r="B38" s="31">
        <v>27</v>
      </c>
      <c r="C38" s="32" t="s">
        <v>103</v>
      </c>
      <c r="D38" s="33">
        <v>831732</v>
      </c>
      <c r="E38" s="33">
        <v>163826</v>
      </c>
      <c r="F38" s="33">
        <v>63010</v>
      </c>
      <c r="G38" s="33">
        <v>75612</v>
      </c>
      <c r="H38" s="33">
        <v>126020</v>
      </c>
      <c r="I38" s="34">
        <v>1260200</v>
      </c>
      <c r="J38" s="35">
        <v>18.12</v>
      </c>
      <c r="K38" s="36">
        <v>501.42500000000001</v>
      </c>
    </row>
    <row r="39" spans="2:11" ht="18" customHeight="1" x14ac:dyDescent="0.35">
      <c r="B39" s="37">
        <v>28</v>
      </c>
      <c r="C39" s="38" t="s">
        <v>104</v>
      </c>
      <c r="D39" s="14">
        <v>1136473.8</v>
      </c>
      <c r="E39" s="14">
        <v>223850.9</v>
      </c>
      <c r="F39" s="14">
        <v>86096.5</v>
      </c>
      <c r="G39" s="14">
        <v>103315.8</v>
      </c>
      <c r="H39" s="14">
        <v>172193</v>
      </c>
      <c r="I39" s="39">
        <v>1721930</v>
      </c>
      <c r="J39" s="40">
        <v>24.074999999999999</v>
      </c>
      <c r="K39" s="13">
        <v>525.5</v>
      </c>
    </row>
    <row r="40" spans="2:11" ht="18" customHeight="1" x14ac:dyDescent="0.35">
      <c r="B40" s="31">
        <v>29</v>
      </c>
      <c r="C40" s="32" t="s">
        <v>105</v>
      </c>
      <c r="D40" s="33">
        <v>890029.8</v>
      </c>
      <c r="E40" s="33">
        <v>175308.9</v>
      </c>
      <c r="F40" s="33">
        <v>67426.5</v>
      </c>
      <c r="G40" s="33">
        <v>80911.8</v>
      </c>
      <c r="H40" s="33">
        <v>134853</v>
      </c>
      <c r="I40" s="34">
        <v>1348530</v>
      </c>
      <c r="J40" s="35">
        <v>20.64</v>
      </c>
      <c r="K40" s="36">
        <v>546.14</v>
      </c>
    </row>
    <row r="41" spans="2:11" ht="18" customHeight="1" x14ac:dyDescent="0.35">
      <c r="B41" s="37">
        <v>30</v>
      </c>
      <c r="C41" s="38" t="s">
        <v>36</v>
      </c>
      <c r="D41" s="14">
        <v>1328316</v>
      </c>
      <c r="E41" s="14">
        <v>261638</v>
      </c>
      <c r="F41" s="14">
        <v>100630</v>
      </c>
      <c r="G41" s="14">
        <v>120756</v>
      </c>
      <c r="H41" s="14">
        <v>201260</v>
      </c>
      <c r="I41" s="39">
        <v>2012600</v>
      </c>
      <c r="J41" s="40">
        <v>41.244999999999997</v>
      </c>
      <c r="K41" s="13">
        <v>587.38499999999999</v>
      </c>
    </row>
    <row r="42" spans="2:11" ht="18" customHeight="1" x14ac:dyDescent="0.35">
      <c r="B42" s="31">
        <v>31</v>
      </c>
      <c r="C42" s="32" t="s">
        <v>107</v>
      </c>
      <c r="D42" s="33">
        <v>922838.4</v>
      </c>
      <c r="E42" s="33">
        <v>181771.2</v>
      </c>
      <c r="F42" s="33">
        <v>69912</v>
      </c>
      <c r="G42" s="33">
        <v>83894.399999999994</v>
      </c>
      <c r="H42" s="33">
        <v>139824</v>
      </c>
      <c r="I42" s="34">
        <v>1398240</v>
      </c>
      <c r="J42" s="35">
        <v>20.5</v>
      </c>
      <c r="K42" s="36">
        <v>607.88499999999999</v>
      </c>
    </row>
    <row r="43" spans="2:11" ht="18" customHeight="1" x14ac:dyDescent="0.35">
      <c r="B43" s="37">
        <v>32</v>
      </c>
      <c r="C43" s="38" t="s">
        <v>37</v>
      </c>
      <c r="D43" s="14">
        <v>1332962.3999999999</v>
      </c>
      <c r="E43" s="14">
        <v>262553.2</v>
      </c>
      <c r="F43" s="14">
        <v>100982</v>
      </c>
      <c r="G43" s="14">
        <v>121178.4</v>
      </c>
      <c r="H43" s="14">
        <v>201964</v>
      </c>
      <c r="I43" s="39">
        <v>2019640</v>
      </c>
      <c r="J43" s="40">
        <v>40.375</v>
      </c>
      <c r="K43" s="13">
        <v>648.26</v>
      </c>
    </row>
    <row r="44" spans="2:11" ht="18" customHeight="1" x14ac:dyDescent="0.35">
      <c r="B44" s="31">
        <v>33</v>
      </c>
      <c r="C44" s="32" t="s">
        <v>147</v>
      </c>
      <c r="D44" s="33">
        <v>358102.8</v>
      </c>
      <c r="E44" s="33">
        <v>70535.400000000009</v>
      </c>
      <c r="F44" s="33">
        <v>27129</v>
      </c>
      <c r="G44" s="33">
        <v>32554.799999999999</v>
      </c>
      <c r="H44" s="33">
        <v>54258</v>
      </c>
      <c r="I44" s="34">
        <v>542580</v>
      </c>
      <c r="J44" s="35">
        <v>2.96</v>
      </c>
      <c r="K44" s="36">
        <v>651.22</v>
      </c>
    </row>
    <row r="45" spans="2:11" ht="18" customHeight="1" x14ac:dyDescent="0.35">
      <c r="B45" s="37">
        <v>34</v>
      </c>
      <c r="C45" s="38" t="s">
        <v>109</v>
      </c>
      <c r="D45" s="14">
        <v>1011054</v>
      </c>
      <c r="E45" s="14">
        <v>199147</v>
      </c>
      <c r="F45" s="14">
        <v>76595</v>
      </c>
      <c r="G45" s="14">
        <v>91914</v>
      </c>
      <c r="H45" s="14">
        <v>153190</v>
      </c>
      <c r="I45" s="39">
        <v>1531900</v>
      </c>
      <c r="J45" s="40">
        <v>33.704999999999998</v>
      </c>
      <c r="K45" s="13">
        <v>684.92500000000007</v>
      </c>
    </row>
    <row r="46" spans="2:11" ht="18" customHeight="1" x14ac:dyDescent="0.35">
      <c r="B46" s="31">
        <v>35</v>
      </c>
      <c r="C46" s="32" t="s">
        <v>110</v>
      </c>
      <c r="D46" s="33">
        <v>1499916</v>
      </c>
      <c r="E46" s="33">
        <v>295438</v>
      </c>
      <c r="F46" s="33">
        <v>113630</v>
      </c>
      <c r="G46" s="33">
        <v>136356</v>
      </c>
      <c r="H46" s="33">
        <v>227260</v>
      </c>
      <c r="I46" s="34">
        <v>2272600</v>
      </c>
      <c r="J46" s="35">
        <v>3.2050000000000001</v>
      </c>
      <c r="K46" s="36">
        <v>688.13000000000011</v>
      </c>
    </row>
    <row r="47" spans="2:11" ht="18" customHeight="1" x14ac:dyDescent="0.35">
      <c r="B47" s="37">
        <v>36</v>
      </c>
      <c r="C47" s="38" t="s">
        <v>111</v>
      </c>
      <c r="D47" s="14">
        <v>805198.68</v>
      </c>
      <c r="E47" s="14">
        <v>158599.74</v>
      </c>
      <c r="F47" s="14">
        <v>60999.9</v>
      </c>
      <c r="G47" s="14">
        <v>73199.87999999999</v>
      </c>
      <c r="H47" s="14">
        <v>121999.8</v>
      </c>
      <c r="I47" s="39">
        <v>1219998</v>
      </c>
      <c r="J47" s="40">
        <v>7.7149999999999999</v>
      </c>
      <c r="K47" s="13">
        <v>695.84500000000014</v>
      </c>
    </row>
    <row r="48" spans="2:11" ht="18" customHeight="1" x14ac:dyDescent="0.35">
      <c r="B48" s="31">
        <v>37</v>
      </c>
      <c r="C48" s="32" t="s">
        <v>112</v>
      </c>
      <c r="D48" s="33">
        <v>1002870</v>
      </c>
      <c r="E48" s="33">
        <v>197535</v>
      </c>
      <c r="F48" s="33">
        <v>75975</v>
      </c>
      <c r="G48" s="33">
        <v>91170</v>
      </c>
      <c r="H48" s="33">
        <v>151950</v>
      </c>
      <c r="I48" s="34">
        <v>1519500</v>
      </c>
      <c r="J48" s="35">
        <v>1.07</v>
      </c>
      <c r="K48" s="36">
        <v>696.91500000000019</v>
      </c>
    </row>
    <row r="49" spans="2:11" ht="18" customHeight="1" x14ac:dyDescent="0.35">
      <c r="B49" s="37">
        <v>38</v>
      </c>
      <c r="C49" s="38" t="s">
        <v>40</v>
      </c>
      <c r="D49" s="14">
        <v>1158300</v>
      </c>
      <c r="E49" s="14">
        <v>228150</v>
      </c>
      <c r="F49" s="14">
        <v>87750</v>
      </c>
      <c r="G49" s="14">
        <v>105300</v>
      </c>
      <c r="H49" s="14">
        <v>175500</v>
      </c>
      <c r="I49" s="39">
        <v>1755000</v>
      </c>
      <c r="J49" s="40">
        <v>35.125</v>
      </c>
      <c r="K49" s="13">
        <v>732.04000000000019</v>
      </c>
    </row>
    <row r="50" spans="2:11" ht="18" customHeight="1" x14ac:dyDescent="0.35">
      <c r="B50" s="31">
        <v>39</v>
      </c>
      <c r="C50" s="32" t="s">
        <v>114</v>
      </c>
      <c r="D50" s="33">
        <v>836055</v>
      </c>
      <c r="E50" s="33">
        <v>164677.5</v>
      </c>
      <c r="F50" s="33">
        <v>63337.5</v>
      </c>
      <c r="G50" s="33">
        <v>76005</v>
      </c>
      <c r="H50" s="33">
        <v>126675</v>
      </c>
      <c r="I50" s="34">
        <v>1266750</v>
      </c>
      <c r="J50" s="35">
        <v>16.88</v>
      </c>
      <c r="K50" s="36">
        <v>748.92000000000019</v>
      </c>
    </row>
    <row r="51" spans="2:11" ht="18" customHeight="1" x14ac:dyDescent="0.35">
      <c r="B51" s="37">
        <v>40</v>
      </c>
      <c r="C51" s="38" t="s">
        <v>115</v>
      </c>
      <c r="D51" s="14">
        <v>785728.68</v>
      </c>
      <c r="E51" s="14">
        <v>154764.74</v>
      </c>
      <c r="F51" s="14">
        <v>59524.9</v>
      </c>
      <c r="G51" s="14">
        <v>71429.87999999999</v>
      </c>
      <c r="H51" s="14">
        <v>119049.8</v>
      </c>
      <c r="I51" s="39">
        <v>1190498</v>
      </c>
      <c r="J51" s="40">
        <v>17.684999999999999</v>
      </c>
      <c r="K51" s="13">
        <v>766.60500000000013</v>
      </c>
    </row>
    <row r="52" spans="2:11" ht="18" customHeight="1" x14ac:dyDescent="0.35">
      <c r="B52" s="31">
        <v>41</v>
      </c>
      <c r="C52" s="32" t="s">
        <v>148</v>
      </c>
      <c r="D52" s="33">
        <v>294444.48</v>
      </c>
      <c r="E52" s="33">
        <v>57996.639999999999</v>
      </c>
      <c r="F52" s="33">
        <v>22306.400000000001</v>
      </c>
      <c r="G52" s="33">
        <v>26767.68</v>
      </c>
      <c r="H52" s="33">
        <v>44612.800000000003</v>
      </c>
      <c r="I52" s="34">
        <v>446128</v>
      </c>
      <c r="J52" s="35">
        <v>3.65</v>
      </c>
      <c r="K52" s="36">
        <v>770.25500000000011</v>
      </c>
    </row>
    <row r="53" spans="2:11" ht="25" customHeight="1" x14ac:dyDescent="0.35">
      <c r="B53" s="41"/>
      <c r="C53" s="42" t="s">
        <v>116</v>
      </c>
      <c r="D53" s="23">
        <v>32504992.079999998</v>
      </c>
      <c r="E53" s="23">
        <v>6402498.4400000004</v>
      </c>
      <c r="F53" s="23">
        <v>2462499.4</v>
      </c>
      <c r="G53" s="23">
        <v>2954999.28</v>
      </c>
      <c r="H53" s="23">
        <v>4924998.8</v>
      </c>
      <c r="I53" s="43">
        <v>49249988</v>
      </c>
      <c r="J53" s="44">
        <v>1116.9000000000001</v>
      </c>
      <c r="K53" s="41"/>
    </row>
    <row r="55" spans="2:11" ht="22" customHeight="1" x14ac:dyDescent="0.35">
      <c r="B55" s="208" t="s">
        <v>149</v>
      </c>
      <c r="C55" s="155"/>
      <c r="D55" s="155"/>
      <c r="E55" s="155"/>
      <c r="F55" s="155"/>
      <c r="G55" s="155"/>
      <c r="H55" s="155"/>
      <c r="I55" s="155"/>
      <c r="J55" s="155"/>
      <c r="K55" s="155"/>
    </row>
    <row r="56" spans="2:11" x14ac:dyDescent="0.35">
      <c r="B56" s="1" t="s">
        <v>118</v>
      </c>
      <c r="C56" s="148" t="s">
        <v>119</v>
      </c>
      <c r="D56" s="196"/>
      <c r="E56" s="196"/>
      <c r="F56" s="196"/>
      <c r="G56" s="149"/>
      <c r="H56" s="148" t="s">
        <v>120</v>
      </c>
      <c r="I56" s="149"/>
      <c r="J56" s="148" t="s">
        <v>121</v>
      </c>
      <c r="K56" s="149"/>
    </row>
    <row r="57" spans="2:11" ht="18" customHeight="1" x14ac:dyDescent="0.35">
      <c r="B57" s="45" t="s">
        <v>122</v>
      </c>
      <c r="C57" s="215" t="s">
        <v>123</v>
      </c>
      <c r="D57" s="196"/>
      <c r="E57" s="196"/>
      <c r="F57" s="196"/>
      <c r="G57" s="149"/>
      <c r="H57" s="206">
        <v>695802</v>
      </c>
      <c r="I57" s="149"/>
      <c r="J57" s="222">
        <v>1.1253982990552891E-2</v>
      </c>
      <c r="K57" s="149"/>
    </row>
    <row r="58" spans="2:11" ht="18" customHeight="1" x14ac:dyDescent="0.35">
      <c r="B58" s="46" t="s">
        <v>122</v>
      </c>
      <c r="C58" s="205" t="s">
        <v>124</v>
      </c>
      <c r="D58" s="196"/>
      <c r="E58" s="196"/>
      <c r="F58" s="196"/>
      <c r="G58" s="149"/>
      <c r="H58" s="209">
        <v>1665366</v>
      </c>
      <c r="I58" s="149"/>
      <c r="J58" s="222">
        <v>2.6935824612526402E-2</v>
      </c>
      <c r="K58" s="149"/>
    </row>
    <row r="59" spans="2:11" ht="18" customHeight="1" x14ac:dyDescent="0.35">
      <c r="B59" s="45" t="s">
        <v>125</v>
      </c>
      <c r="C59" s="215" t="s">
        <v>126</v>
      </c>
      <c r="D59" s="196"/>
      <c r="E59" s="196"/>
      <c r="F59" s="196"/>
      <c r="G59" s="149"/>
      <c r="H59" s="206">
        <v>917887</v>
      </c>
      <c r="I59" s="149"/>
      <c r="J59" s="222">
        <v>1.484601177526023E-2</v>
      </c>
      <c r="K59" s="149"/>
    </row>
    <row r="60" spans="2:11" ht="18" customHeight="1" x14ac:dyDescent="0.35">
      <c r="B60" s="46" t="s">
        <v>125</v>
      </c>
      <c r="C60" s="205" t="s">
        <v>127</v>
      </c>
      <c r="D60" s="196"/>
      <c r="E60" s="196"/>
      <c r="F60" s="196"/>
      <c r="G60" s="149"/>
      <c r="H60" s="209">
        <v>1481610</v>
      </c>
      <c r="I60" s="149"/>
      <c r="J60" s="222">
        <v>2.3963733560169499E-2</v>
      </c>
      <c r="K60" s="149"/>
    </row>
    <row r="61" spans="2:11" ht="18" customHeight="1" x14ac:dyDescent="0.35">
      <c r="B61" s="45" t="s">
        <v>125</v>
      </c>
      <c r="C61" s="215" t="s">
        <v>150</v>
      </c>
      <c r="D61" s="196"/>
      <c r="E61" s="196"/>
      <c r="F61" s="196"/>
      <c r="G61" s="149"/>
      <c r="H61" s="206">
        <v>875445</v>
      </c>
      <c r="I61" s="149"/>
      <c r="J61" s="222">
        <v>1.4159549899489469E-2</v>
      </c>
      <c r="K61" s="149"/>
    </row>
    <row r="62" spans="2:11" ht="18" customHeight="1" x14ac:dyDescent="0.35">
      <c r="B62" s="46" t="s">
        <v>128</v>
      </c>
      <c r="C62" s="205" t="s">
        <v>129</v>
      </c>
      <c r="D62" s="196"/>
      <c r="E62" s="196"/>
      <c r="F62" s="196"/>
      <c r="G62" s="149"/>
      <c r="H62" s="209">
        <v>915237</v>
      </c>
      <c r="I62" s="149"/>
      <c r="J62" s="222">
        <v>1.480315036508181E-2</v>
      </c>
      <c r="K62" s="149"/>
    </row>
    <row r="63" spans="2:11" ht="18" customHeight="1" x14ac:dyDescent="0.35">
      <c r="B63" s="45" t="s">
        <v>128</v>
      </c>
      <c r="C63" s="215" t="s">
        <v>130</v>
      </c>
      <c r="D63" s="196"/>
      <c r="E63" s="196"/>
      <c r="F63" s="196"/>
      <c r="G63" s="149"/>
      <c r="H63" s="206">
        <v>915237</v>
      </c>
      <c r="I63" s="149"/>
      <c r="J63" s="222">
        <v>1.480315036508181E-2</v>
      </c>
      <c r="K63" s="149"/>
    </row>
    <row r="64" spans="2:11" ht="18" customHeight="1" x14ac:dyDescent="0.35">
      <c r="B64" s="48" t="s">
        <v>151</v>
      </c>
      <c r="C64" s="211" t="s">
        <v>152</v>
      </c>
      <c r="D64" s="196"/>
      <c r="E64" s="196"/>
      <c r="F64" s="196"/>
      <c r="G64" s="149"/>
      <c r="H64" s="214">
        <v>1334605</v>
      </c>
      <c r="I64" s="149"/>
      <c r="J64" s="222">
        <v>2.1586057483460569E-2</v>
      </c>
      <c r="K64" s="149"/>
    </row>
    <row r="65" spans="2:11" ht="18" customHeight="1" x14ac:dyDescent="0.35">
      <c r="B65" s="45" t="s">
        <v>131</v>
      </c>
      <c r="C65" s="215" t="s">
        <v>132</v>
      </c>
      <c r="D65" s="196"/>
      <c r="E65" s="196"/>
      <c r="F65" s="196"/>
      <c r="G65" s="149"/>
      <c r="H65" s="206">
        <v>1436000</v>
      </c>
      <c r="I65" s="149"/>
      <c r="J65" s="222">
        <v>2.3226032081589219E-2</v>
      </c>
      <c r="K65" s="149"/>
    </row>
    <row r="66" spans="2:11" ht="18" customHeight="1" x14ac:dyDescent="0.35">
      <c r="B66" s="46" t="s">
        <v>131</v>
      </c>
      <c r="C66" s="205" t="s">
        <v>113</v>
      </c>
      <c r="D66" s="196"/>
      <c r="E66" s="196"/>
      <c r="F66" s="196"/>
      <c r="G66" s="149"/>
      <c r="H66" s="209">
        <v>590000</v>
      </c>
      <c r="I66" s="149"/>
      <c r="J66" s="222">
        <v>9.5427290585916712E-3</v>
      </c>
      <c r="K66" s="149"/>
    </row>
    <row r="67" spans="2:11" ht="25" customHeight="1" x14ac:dyDescent="0.35">
      <c r="B67" s="41"/>
      <c r="C67" s="213" t="s">
        <v>135</v>
      </c>
      <c r="D67" s="196"/>
      <c r="E67" s="196"/>
      <c r="F67" s="196"/>
      <c r="G67" s="149"/>
      <c r="H67" s="221">
        <v>10827189</v>
      </c>
      <c r="I67" s="149"/>
    </row>
  </sheetData>
  <mergeCells count="55">
    <mergeCell ref="B2:K2"/>
    <mergeCell ref="C61:G61"/>
    <mergeCell ref="H66:I66"/>
    <mergeCell ref="J66:K66"/>
    <mergeCell ref="H65:I65"/>
    <mergeCell ref="J56:K56"/>
    <mergeCell ref="D8:E8"/>
    <mergeCell ref="B6:C6"/>
    <mergeCell ref="H62:I62"/>
    <mergeCell ref="J62:K62"/>
    <mergeCell ref="C66:G66"/>
    <mergeCell ref="C57:G57"/>
    <mergeCell ref="H8:I8"/>
    <mergeCell ref="J58:K58"/>
    <mergeCell ref="B10:K10"/>
    <mergeCell ref="J61:K61"/>
    <mergeCell ref="B3:K3"/>
    <mergeCell ref="F8:G8"/>
    <mergeCell ref="C56:G56"/>
    <mergeCell ref="C59:G59"/>
    <mergeCell ref="D7:E7"/>
    <mergeCell ref="H7:I7"/>
    <mergeCell ref="J7:K7"/>
    <mergeCell ref="H57:I57"/>
    <mergeCell ref="B5:K5"/>
    <mergeCell ref="H56:I56"/>
    <mergeCell ref="D6:E6"/>
    <mergeCell ref="C64:G64"/>
    <mergeCell ref="H59:I59"/>
    <mergeCell ref="H6:I6"/>
    <mergeCell ref="J6:K6"/>
    <mergeCell ref="H64:I64"/>
    <mergeCell ref="H60:I60"/>
    <mergeCell ref="C63:G63"/>
    <mergeCell ref="J8:K8"/>
    <mergeCell ref="H61:I61"/>
    <mergeCell ref="B8:C8"/>
    <mergeCell ref="C60:G60"/>
    <mergeCell ref="J63:K63"/>
    <mergeCell ref="F6:G6"/>
    <mergeCell ref="B55:K55"/>
    <mergeCell ref="J59:K59"/>
    <mergeCell ref="H58:I58"/>
    <mergeCell ref="J60:K60"/>
    <mergeCell ref="F7:G7"/>
    <mergeCell ref="J64:K64"/>
    <mergeCell ref="H67:I67"/>
    <mergeCell ref="B7:C7"/>
    <mergeCell ref="C62:G62"/>
    <mergeCell ref="C58:G58"/>
    <mergeCell ref="H63:I63"/>
    <mergeCell ref="J57:K57"/>
    <mergeCell ref="C65:G65"/>
    <mergeCell ref="J65:K65"/>
    <mergeCell ref="C67:G6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60"/>
  <sheetViews>
    <sheetView showGridLines="0" workbookViewId="0">
      <selection activeCell="K3" sqref="K3"/>
    </sheetView>
  </sheetViews>
  <sheetFormatPr baseColWidth="10" defaultColWidth="8.7265625" defaultRowHeight="14.5" x14ac:dyDescent="0.35"/>
  <cols>
    <col min="1" max="1" width="3" customWidth="1"/>
    <col min="2" max="2" width="5" customWidth="1"/>
    <col min="3" max="3" width="26" customWidth="1"/>
    <col min="4" max="5" width="14" customWidth="1"/>
    <col min="6" max="6" width="16" customWidth="1"/>
    <col min="7" max="7" width="18" customWidth="1"/>
    <col min="8" max="10" width="14" customWidth="1"/>
    <col min="11" max="11" width="25" customWidth="1"/>
    <col min="12" max="12" width="14" customWidth="1"/>
  </cols>
  <sheetData>
    <row r="1" spans="2:12" ht="6" customHeight="1" x14ac:dyDescent="0.35"/>
    <row r="2" spans="2:12" ht="40" customHeight="1" x14ac:dyDescent="0.35">
      <c r="B2" s="201" t="s">
        <v>153</v>
      </c>
      <c r="C2" s="155"/>
      <c r="D2" s="155"/>
      <c r="E2" s="155"/>
      <c r="F2" s="155"/>
      <c r="G2" s="155"/>
      <c r="H2" s="155"/>
      <c r="I2" s="155"/>
      <c r="J2" s="155"/>
    </row>
    <row r="3" spans="2:12" ht="20" customHeight="1" x14ac:dyDescent="0.35">
      <c r="B3" s="166" t="s">
        <v>154</v>
      </c>
      <c r="C3" s="155"/>
      <c r="D3" s="155"/>
      <c r="E3" s="155"/>
      <c r="F3" s="155"/>
      <c r="G3" s="155"/>
      <c r="H3" s="155"/>
      <c r="I3" s="155"/>
      <c r="J3" s="155"/>
    </row>
    <row r="4" spans="2:12" ht="8" customHeight="1" x14ac:dyDescent="0.35"/>
    <row r="5" spans="2:12" ht="35" customHeight="1" x14ac:dyDescent="0.35">
      <c r="B5" s="212" t="s">
        <v>155</v>
      </c>
      <c r="C5" s="155"/>
      <c r="D5" s="212" t="s">
        <v>156</v>
      </c>
      <c r="E5" s="155"/>
      <c r="F5" s="193" t="s">
        <v>157</v>
      </c>
      <c r="G5" s="155"/>
      <c r="H5" s="169" t="s">
        <v>158</v>
      </c>
      <c r="I5" s="155"/>
      <c r="J5" s="158" t="s">
        <v>159</v>
      </c>
      <c r="K5" s="155"/>
    </row>
    <row r="6" spans="2:12" ht="40" customHeight="1" x14ac:dyDescent="0.35">
      <c r="B6" s="225" t="s">
        <v>36</v>
      </c>
      <c r="C6" s="155"/>
      <c r="D6" s="224">
        <v>82.49</v>
      </c>
      <c r="E6" s="155"/>
      <c r="F6" s="228">
        <v>33.063061224489793</v>
      </c>
      <c r="G6" s="155"/>
      <c r="H6" s="226">
        <v>0.39360787172011658</v>
      </c>
      <c r="I6" s="155"/>
      <c r="J6" s="227">
        <v>49</v>
      </c>
      <c r="K6" s="155"/>
    </row>
    <row r="7" spans="2:12" ht="14" customHeight="1" x14ac:dyDescent="0.35">
      <c r="B7" s="216"/>
      <c r="C7" s="155"/>
      <c r="D7" s="216"/>
      <c r="E7" s="155"/>
      <c r="F7" s="216"/>
      <c r="G7" s="155"/>
      <c r="H7" s="216"/>
      <c r="I7" s="155"/>
      <c r="J7" s="216"/>
      <c r="K7" s="155"/>
    </row>
    <row r="8" spans="2:12" ht="10" customHeight="1" x14ac:dyDescent="0.35"/>
    <row r="9" spans="2:12" ht="22" customHeight="1" x14ac:dyDescent="0.35">
      <c r="B9" s="164" t="s">
        <v>160</v>
      </c>
      <c r="C9" s="155"/>
      <c r="D9" s="155"/>
      <c r="E9" s="155"/>
      <c r="F9" s="155"/>
      <c r="G9" s="155"/>
      <c r="H9" s="155"/>
      <c r="I9" s="155"/>
      <c r="J9" s="155"/>
    </row>
    <row r="10" spans="2:12" ht="35" customHeight="1" x14ac:dyDescent="0.35">
      <c r="B10" s="1" t="s">
        <v>161</v>
      </c>
      <c r="C10" s="1" t="s">
        <v>33</v>
      </c>
      <c r="D10" s="1" t="s">
        <v>45</v>
      </c>
      <c r="E10" s="1" t="s">
        <v>162</v>
      </c>
      <c r="F10" s="1" t="s">
        <v>47</v>
      </c>
      <c r="G10" s="1" t="s">
        <v>163</v>
      </c>
      <c r="H10" s="1" t="s">
        <v>164</v>
      </c>
      <c r="I10" s="1" t="s">
        <v>165</v>
      </c>
      <c r="J10" s="1" t="s">
        <v>166</v>
      </c>
      <c r="K10" t="s">
        <v>167</v>
      </c>
      <c r="L10" t="s">
        <v>25</v>
      </c>
    </row>
    <row r="11" spans="2:12" ht="18" customHeight="1" x14ac:dyDescent="0.35">
      <c r="B11" s="49">
        <v>1</v>
      </c>
      <c r="C11" s="50" t="s">
        <v>36</v>
      </c>
      <c r="D11" s="51">
        <v>82.49</v>
      </c>
      <c r="E11" s="11">
        <v>84</v>
      </c>
      <c r="F11" s="12">
        <v>0.98207999999999995</v>
      </c>
      <c r="G11" s="52" t="s">
        <v>168</v>
      </c>
      <c r="H11" s="11">
        <v>1442200</v>
      </c>
      <c r="I11" s="11">
        <v>2012600</v>
      </c>
      <c r="J11" s="53">
        <v>3454800</v>
      </c>
      <c r="K11" t="s">
        <v>36</v>
      </c>
      <c r="L11">
        <v>82.49</v>
      </c>
    </row>
    <row r="12" spans="2:12" ht="18" customHeight="1" x14ac:dyDescent="0.35">
      <c r="B12" s="49">
        <v>2</v>
      </c>
      <c r="C12" s="50" t="s">
        <v>37</v>
      </c>
      <c r="D12" s="51">
        <v>80.75</v>
      </c>
      <c r="E12" s="11">
        <v>84</v>
      </c>
      <c r="F12" s="12">
        <v>0.96131</v>
      </c>
      <c r="G12" s="52" t="s">
        <v>168</v>
      </c>
      <c r="H12" s="11">
        <v>1332000</v>
      </c>
      <c r="I12" s="11">
        <v>2019640</v>
      </c>
      <c r="J12" s="53">
        <v>3351640</v>
      </c>
      <c r="K12" t="s">
        <v>37</v>
      </c>
      <c r="L12">
        <v>80.75</v>
      </c>
    </row>
    <row r="13" spans="2:12" ht="18" customHeight="1" x14ac:dyDescent="0.35">
      <c r="B13" s="54">
        <v>3</v>
      </c>
      <c r="C13" s="55" t="s">
        <v>38</v>
      </c>
      <c r="D13" s="56">
        <v>75.41</v>
      </c>
      <c r="E13" s="57">
        <v>84</v>
      </c>
      <c r="F13" s="58">
        <v>0.89773999999999998</v>
      </c>
      <c r="G13" s="59" t="s">
        <v>169</v>
      </c>
      <c r="H13" s="57">
        <v>596250</v>
      </c>
      <c r="I13" s="57">
        <v>1694000</v>
      </c>
      <c r="J13" s="60">
        <v>2290250</v>
      </c>
      <c r="K13" t="s">
        <v>38</v>
      </c>
      <c r="L13">
        <v>75.41</v>
      </c>
    </row>
    <row r="14" spans="2:12" ht="18" customHeight="1" x14ac:dyDescent="0.35">
      <c r="B14" s="54">
        <v>4</v>
      </c>
      <c r="C14" s="55" t="s">
        <v>39</v>
      </c>
      <c r="D14" s="56">
        <v>73.41</v>
      </c>
      <c r="E14" s="57">
        <v>84</v>
      </c>
      <c r="F14" s="58">
        <v>0.87392999999999998</v>
      </c>
      <c r="G14" s="59" t="s">
        <v>169</v>
      </c>
      <c r="H14" s="57">
        <v>1314450</v>
      </c>
      <c r="I14" s="57">
        <v>1742500</v>
      </c>
      <c r="J14" s="60">
        <v>3056950</v>
      </c>
      <c r="K14" t="s">
        <v>39</v>
      </c>
      <c r="L14">
        <v>73.41</v>
      </c>
    </row>
    <row r="15" spans="2:12" ht="18" customHeight="1" x14ac:dyDescent="0.35">
      <c r="B15" s="54">
        <v>5</v>
      </c>
      <c r="C15" s="55" t="s">
        <v>40</v>
      </c>
      <c r="D15" s="56">
        <v>70.25</v>
      </c>
      <c r="E15" s="57">
        <v>84</v>
      </c>
      <c r="F15" s="58">
        <v>0.83631</v>
      </c>
      <c r="G15" s="59" t="s">
        <v>169</v>
      </c>
      <c r="H15" s="57">
        <v>1238250</v>
      </c>
      <c r="I15" s="57">
        <v>1755000</v>
      </c>
      <c r="J15" s="60">
        <v>2993250</v>
      </c>
      <c r="K15" t="s">
        <v>40</v>
      </c>
      <c r="L15">
        <v>70.25</v>
      </c>
    </row>
    <row r="16" spans="2:12" ht="18" customHeight="1" x14ac:dyDescent="0.35">
      <c r="B16" s="54">
        <v>6</v>
      </c>
      <c r="C16" s="55" t="s">
        <v>109</v>
      </c>
      <c r="D16" s="56">
        <v>67.41</v>
      </c>
      <c r="E16" s="57">
        <v>84</v>
      </c>
      <c r="F16" s="58">
        <v>0.80252000000000001</v>
      </c>
      <c r="G16" s="59" t="s">
        <v>169</v>
      </c>
      <c r="H16" s="57">
        <v>1477505</v>
      </c>
      <c r="I16" s="57">
        <v>1531900</v>
      </c>
      <c r="J16" s="60">
        <v>3009405</v>
      </c>
      <c r="K16" t="s">
        <v>109</v>
      </c>
      <c r="L16">
        <v>67.41</v>
      </c>
    </row>
    <row r="17" spans="2:12" ht="18" customHeight="1" x14ac:dyDescent="0.35">
      <c r="B17" s="54">
        <v>7</v>
      </c>
      <c r="C17" s="55" t="s">
        <v>102</v>
      </c>
      <c r="D17" s="56">
        <v>66.66</v>
      </c>
      <c r="E17" s="57">
        <v>84</v>
      </c>
      <c r="F17" s="58">
        <v>0.79357</v>
      </c>
      <c r="G17" s="59" t="s">
        <v>169</v>
      </c>
      <c r="H17" s="57">
        <v>1394000</v>
      </c>
      <c r="I17" s="57">
        <v>2050100</v>
      </c>
      <c r="J17" s="60">
        <v>3444100</v>
      </c>
      <c r="K17" t="s">
        <v>102</v>
      </c>
      <c r="L17">
        <v>66.66</v>
      </c>
    </row>
    <row r="18" spans="2:12" ht="18" customHeight="1" x14ac:dyDescent="0.35">
      <c r="B18" s="54">
        <v>8</v>
      </c>
      <c r="C18" s="55" t="s">
        <v>84</v>
      </c>
      <c r="D18" s="56">
        <v>64.180000000000007</v>
      </c>
      <c r="E18" s="57">
        <v>84</v>
      </c>
      <c r="F18" s="58">
        <v>0.76405000000000001</v>
      </c>
      <c r="G18" s="59" t="s">
        <v>169</v>
      </c>
      <c r="H18" s="57">
        <v>1326600</v>
      </c>
      <c r="I18" s="57">
        <v>1360500</v>
      </c>
      <c r="J18" s="60">
        <v>2687100</v>
      </c>
      <c r="K18" t="s">
        <v>84</v>
      </c>
      <c r="L18">
        <v>64.180000000000007</v>
      </c>
    </row>
    <row r="19" spans="2:12" ht="18" customHeight="1" x14ac:dyDescent="0.35">
      <c r="B19" s="54">
        <v>9</v>
      </c>
      <c r="C19" s="55" t="s">
        <v>88</v>
      </c>
      <c r="D19" s="56">
        <v>59.04</v>
      </c>
      <c r="E19" s="57">
        <v>84</v>
      </c>
      <c r="F19" s="58">
        <v>0.70286000000000004</v>
      </c>
      <c r="G19" s="59" t="s">
        <v>169</v>
      </c>
      <c r="H19" s="57">
        <v>1214550</v>
      </c>
      <c r="I19" s="57">
        <v>1042100</v>
      </c>
      <c r="J19" s="60">
        <v>2256650</v>
      </c>
      <c r="K19" t="s">
        <v>88</v>
      </c>
      <c r="L19">
        <v>59.04</v>
      </c>
    </row>
    <row r="20" spans="2:12" ht="18" customHeight="1" x14ac:dyDescent="0.35">
      <c r="B20" s="61">
        <v>10</v>
      </c>
      <c r="C20" s="38" t="s">
        <v>91</v>
      </c>
      <c r="D20" s="62">
        <v>53.53</v>
      </c>
      <c r="E20" s="14">
        <v>84</v>
      </c>
      <c r="F20" s="63">
        <v>0.63724000000000003</v>
      </c>
      <c r="G20" s="64" t="s">
        <v>170</v>
      </c>
      <c r="H20" s="14">
        <v>1432580</v>
      </c>
      <c r="I20" s="14">
        <v>1340090</v>
      </c>
      <c r="J20" s="65">
        <v>2772670</v>
      </c>
      <c r="K20" t="s">
        <v>91</v>
      </c>
      <c r="L20">
        <v>53.53</v>
      </c>
    </row>
    <row r="21" spans="2:12" ht="18" customHeight="1" x14ac:dyDescent="0.35">
      <c r="B21" s="61">
        <v>11</v>
      </c>
      <c r="C21" s="38" t="s">
        <v>93</v>
      </c>
      <c r="D21" s="62">
        <v>53.05</v>
      </c>
      <c r="E21" s="14">
        <v>84</v>
      </c>
      <c r="F21" s="63">
        <v>0.63151000000000002</v>
      </c>
      <c r="G21" s="64" t="s">
        <v>170</v>
      </c>
      <c r="H21" s="14">
        <v>1435956</v>
      </c>
      <c r="I21" s="14">
        <v>1773808</v>
      </c>
      <c r="J21" s="65">
        <v>3209764</v>
      </c>
      <c r="K21" t="s">
        <v>93</v>
      </c>
      <c r="L21">
        <v>53.05</v>
      </c>
    </row>
    <row r="22" spans="2:12" ht="18" customHeight="1" x14ac:dyDescent="0.35">
      <c r="B22" s="61">
        <v>12</v>
      </c>
      <c r="C22" s="38" t="s">
        <v>95</v>
      </c>
      <c r="D22" s="62">
        <v>50.57</v>
      </c>
      <c r="E22" s="14">
        <v>84</v>
      </c>
      <c r="F22" s="63">
        <v>0.60206999999999999</v>
      </c>
      <c r="G22" s="64" t="s">
        <v>170</v>
      </c>
      <c r="H22" s="14">
        <v>1411750</v>
      </c>
      <c r="I22" s="14">
        <v>1596540</v>
      </c>
      <c r="J22" s="65">
        <v>3008290</v>
      </c>
      <c r="K22" t="s">
        <v>95</v>
      </c>
      <c r="L22">
        <v>50.57</v>
      </c>
    </row>
    <row r="23" spans="2:12" ht="18" customHeight="1" x14ac:dyDescent="0.35">
      <c r="B23" s="61">
        <v>13</v>
      </c>
      <c r="C23" s="38" t="s">
        <v>97</v>
      </c>
      <c r="D23" s="62">
        <v>50.53</v>
      </c>
      <c r="E23" s="14">
        <v>84</v>
      </c>
      <c r="F23" s="63">
        <v>0.60150000000000003</v>
      </c>
      <c r="G23" s="64" t="s">
        <v>170</v>
      </c>
      <c r="H23" s="14">
        <v>976000</v>
      </c>
      <c r="I23" s="14">
        <v>1455435</v>
      </c>
      <c r="J23" s="65">
        <v>2431435</v>
      </c>
      <c r="K23" t="s">
        <v>97</v>
      </c>
      <c r="L23">
        <v>50.53</v>
      </c>
    </row>
    <row r="24" spans="2:12" ht="18" customHeight="1" x14ac:dyDescent="0.35">
      <c r="B24" s="61">
        <v>14</v>
      </c>
      <c r="C24" s="38" t="s">
        <v>82</v>
      </c>
      <c r="D24" s="62">
        <v>50.36</v>
      </c>
      <c r="E24" s="14">
        <v>84</v>
      </c>
      <c r="F24" s="63">
        <v>0.59953000000000001</v>
      </c>
      <c r="G24" s="64" t="s">
        <v>170</v>
      </c>
      <c r="H24" s="14">
        <v>1331950</v>
      </c>
      <c r="I24" s="14">
        <v>1310350</v>
      </c>
      <c r="J24" s="65">
        <v>2642300</v>
      </c>
      <c r="K24" t="s">
        <v>82</v>
      </c>
      <c r="L24">
        <v>50.36</v>
      </c>
    </row>
    <row r="25" spans="2:12" ht="18" customHeight="1" x14ac:dyDescent="0.35">
      <c r="B25" s="61">
        <v>15</v>
      </c>
      <c r="C25" s="38" t="s">
        <v>104</v>
      </c>
      <c r="D25" s="62">
        <v>48.15</v>
      </c>
      <c r="E25" s="14">
        <v>84</v>
      </c>
      <c r="F25" s="63">
        <v>0.57326999999999995</v>
      </c>
      <c r="G25" s="64" t="s">
        <v>170</v>
      </c>
      <c r="H25" s="14">
        <v>1693046</v>
      </c>
      <c r="I25" s="14">
        <v>1721930</v>
      </c>
      <c r="J25" s="65">
        <v>3414976</v>
      </c>
      <c r="K25" t="s">
        <v>104</v>
      </c>
      <c r="L25">
        <v>48.15</v>
      </c>
    </row>
    <row r="26" spans="2:12" ht="18" customHeight="1" x14ac:dyDescent="0.35">
      <c r="B26" s="61">
        <v>16</v>
      </c>
      <c r="C26" s="38" t="s">
        <v>99</v>
      </c>
      <c r="D26" s="62">
        <v>45.08</v>
      </c>
      <c r="E26" s="14">
        <v>84</v>
      </c>
      <c r="F26" s="63">
        <v>0.53673000000000004</v>
      </c>
      <c r="G26" s="64" t="s">
        <v>170</v>
      </c>
      <c r="H26" s="14">
        <v>1407450</v>
      </c>
      <c r="I26" s="14">
        <v>1823850</v>
      </c>
      <c r="J26" s="65">
        <v>3231300</v>
      </c>
    </row>
    <row r="27" spans="2:12" ht="18" customHeight="1" x14ac:dyDescent="0.35">
      <c r="B27" s="61">
        <v>17</v>
      </c>
      <c r="C27" s="38" t="s">
        <v>85</v>
      </c>
      <c r="D27" s="62">
        <v>42.57</v>
      </c>
      <c r="E27" s="14">
        <v>84</v>
      </c>
      <c r="F27" s="63">
        <v>0.50680000000000003</v>
      </c>
      <c r="G27" s="64" t="s">
        <v>170</v>
      </c>
      <c r="H27" s="14">
        <v>1262300</v>
      </c>
      <c r="I27" s="14">
        <v>1365680</v>
      </c>
      <c r="J27" s="65">
        <v>2627980</v>
      </c>
    </row>
    <row r="28" spans="2:12" ht="18" customHeight="1" x14ac:dyDescent="0.35">
      <c r="B28" s="66">
        <v>18</v>
      </c>
      <c r="C28" s="67" t="s">
        <v>105</v>
      </c>
      <c r="D28" s="68">
        <v>41.28</v>
      </c>
      <c r="E28" s="69">
        <v>84</v>
      </c>
      <c r="F28" s="70">
        <v>0.49142000000000002</v>
      </c>
      <c r="G28" s="71" t="s">
        <v>171</v>
      </c>
      <c r="H28" s="69">
        <v>181490</v>
      </c>
      <c r="I28" s="69">
        <v>1348530</v>
      </c>
      <c r="J28" s="72">
        <v>1530020</v>
      </c>
    </row>
    <row r="29" spans="2:12" ht="18" customHeight="1" x14ac:dyDescent="0.35">
      <c r="B29" s="66">
        <v>19</v>
      </c>
      <c r="C29" s="67" t="s">
        <v>107</v>
      </c>
      <c r="D29" s="68">
        <v>41</v>
      </c>
      <c r="E29" s="69">
        <v>84</v>
      </c>
      <c r="F29" s="70">
        <v>0.48809000000000002</v>
      </c>
      <c r="G29" s="71" t="s">
        <v>171</v>
      </c>
      <c r="H29" s="69">
        <v>1220150</v>
      </c>
      <c r="I29" s="69">
        <v>1398240</v>
      </c>
      <c r="J29" s="72">
        <v>2618390</v>
      </c>
    </row>
    <row r="30" spans="2:12" ht="18" customHeight="1" x14ac:dyDescent="0.35">
      <c r="B30" s="66">
        <v>20</v>
      </c>
      <c r="C30" s="67" t="s">
        <v>103</v>
      </c>
      <c r="D30" s="68">
        <v>36.24</v>
      </c>
      <c r="E30" s="69">
        <v>84</v>
      </c>
      <c r="F30" s="70">
        <v>0.43145</v>
      </c>
      <c r="G30" s="71" t="s">
        <v>171</v>
      </c>
      <c r="H30" s="69">
        <v>1258970</v>
      </c>
      <c r="I30" s="69">
        <v>1260200</v>
      </c>
      <c r="J30" s="72">
        <v>2519170</v>
      </c>
    </row>
    <row r="31" spans="2:12" ht="18" customHeight="1" x14ac:dyDescent="0.35">
      <c r="B31" s="66">
        <v>21</v>
      </c>
      <c r="C31" s="67" t="s">
        <v>115</v>
      </c>
      <c r="D31" s="68">
        <v>35.369999999999997</v>
      </c>
      <c r="E31" s="69">
        <v>84</v>
      </c>
      <c r="F31" s="70">
        <v>0.42101</v>
      </c>
      <c r="G31" s="71" t="s">
        <v>171</v>
      </c>
      <c r="H31" s="69">
        <v>972690</v>
      </c>
      <c r="I31" s="69">
        <v>1190498</v>
      </c>
      <c r="J31" s="72">
        <v>2163188</v>
      </c>
    </row>
    <row r="32" spans="2:12" ht="18" customHeight="1" x14ac:dyDescent="0.35">
      <c r="B32" s="66">
        <v>22</v>
      </c>
      <c r="C32" s="67" t="s">
        <v>100</v>
      </c>
      <c r="D32" s="68">
        <v>33.76</v>
      </c>
      <c r="E32" s="69">
        <v>84</v>
      </c>
      <c r="F32" s="70">
        <v>0.40190999999999999</v>
      </c>
      <c r="G32" s="71" t="s">
        <v>171</v>
      </c>
      <c r="H32" s="69">
        <v>886940</v>
      </c>
      <c r="I32" s="69">
        <v>243080</v>
      </c>
      <c r="J32" s="72">
        <v>1130020</v>
      </c>
    </row>
    <row r="33" spans="2:10" ht="18" customHeight="1" x14ac:dyDescent="0.35">
      <c r="B33" s="66">
        <v>23</v>
      </c>
      <c r="C33" s="67" t="s">
        <v>114</v>
      </c>
      <c r="D33" s="68">
        <v>33.76</v>
      </c>
      <c r="E33" s="69">
        <v>84</v>
      </c>
      <c r="F33" s="70">
        <v>0.40194999999999997</v>
      </c>
      <c r="G33" s="71" t="s">
        <v>171</v>
      </c>
      <c r="H33" s="69">
        <v>514300</v>
      </c>
      <c r="I33" s="69">
        <v>1266750</v>
      </c>
      <c r="J33" s="72">
        <v>1781050</v>
      </c>
    </row>
    <row r="34" spans="2:10" ht="18" customHeight="1" x14ac:dyDescent="0.35">
      <c r="B34" s="66">
        <v>24</v>
      </c>
      <c r="C34" s="67" t="s">
        <v>96</v>
      </c>
      <c r="D34" s="68">
        <v>33.409999999999997</v>
      </c>
      <c r="E34" s="69">
        <v>84</v>
      </c>
      <c r="F34" s="70">
        <v>0.39768999999999999</v>
      </c>
      <c r="G34" s="71" t="s">
        <v>171</v>
      </c>
      <c r="H34" s="69">
        <v>1106150</v>
      </c>
      <c r="I34" s="69">
        <v>1176980</v>
      </c>
      <c r="J34" s="72">
        <v>2283130</v>
      </c>
    </row>
    <row r="35" spans="2:10" ht="18" customHeight="1" x14ac:dyDescent="0.35">
      <c r="B35" s="66">
        <v>25</v>
      </c>
      <c r="C35" s="67" t="s">
        <v>89</v>
      </c>
      <c r="D35" s="68">
        <v>32.47</v>
      </c>
      <c r="E35" s="69">
        <v>84</v>
      </c>
      <c r="F35" s="70">
        <v>0.38650000000000001</v>
      </c>
      <c r="G35" s="71" t="s">
        <v>171</v>
      </c>
      <c r="H35" s="69">
        <v>1098540</v>
      </c>
      <c r="I35" s="69">
        <v>1176980</v>
      </c>
      <c r="J35" s="72">
        <v>2275520</v>
      </c>
    </row>
    <row r="36" spans="2:10" ht="18" customHeight="1" x14ac:dyDescent="0.35">
      <c r="B36" s="66">
        <v>26</v>
      </c>
      <c r="C36" s="67" t="s">
        <v>143</v>
      </c>
      <c r="D36" s="68">
        <v>27.04</v>
      </c>
      <c r="E36" s="69">
        <v>84</v>
      </c>
      <c r="F36" s="70">
        <v>0.32194</v>
      </c>
      <c r="G36" s="71" t="s">
        <v>171</v>
      </c>
      <c r="H36" s="69">
        <v>0</v>
      </c>
      <c r="I36" s="69">
        <v>1221860</v>
      </c>
      <c r="J36" s="72">
        <v>1221860</v>
      </c>
    </row>
    <row r="37" spans="2:10" ht="18" customHeight="1" x14ac:dyDescent="0.35">
      <c r="B37" s="66">
        <v>27</v>
      </c>
      <c r="C37" s="67" t="s">
        <v>92</v>
      </c>
      <c r="D37" s="68">
        <v>25.76</v>
      </c>
      <c r="E37" s="69">
        <v>84</v>
      </c>
      <c r="F37" s="70">
        <v>0.30664999999999998</v>
      </c>
      <c r="G37" s="71" t="s">
        <v>171</v>
      </c>
      <c r="H37" s="69">
        <v>826250</v>
      </c>
      <c r="I37" s="69">
        <v>597750</v>
      </c>
      <c r="J37" s="72">
        <v>1424000</v>
      </c>
    </row>
    <row r="38" spans="2:10" ht="18" customHeight="1" x14ac:dyDescent="0.35">
      <c r="B38" s="66">
        <v>28</v>
      </c>
      <c r="C38" s="67" t="s">
        <v>146</v>
      </c>
      <c r="D38" s="68">
        <v>25.22</v>
      </c>
      <c r="E38" s="69">
        <v>84</v>
      </c>
      <c r="F38" s="70">
        <v>0.30024000000000001</v>
      </c>
      <c r="G38" s="71" t="s">
        <v>171</v>
      </c>
      <c r="H38" s="69">
        <v>0</v>
      </c>
      <c r="I38" s="69">
        <v>847180</v>
      </c>
      <c r="J38" s="72">
        <v>847180</v>
      </c>
    </row>
    <row r="39" spans="2:10" ht="18" customHeight="1" x14ac:dyDescent="0.35">
      <c r="B39" s="66">
        <v>29</v>
      </c>
      <c r="C39" s="67" t="s">
        <v>80</v>
      </c>
      <c r="D39" s="68">
        <v>22.61</v>
      </c>
      <c r="E39" s="69">
        <v>84</v>
      </c>
      <c r="F39" s="70">
        <v>0.26921</v>
      </c>
      <c r="G39" s="71" t="s">
        <v>171</v>
      </c>
      <c r="H39" s="69">
        <v>1280250</v>
      </c>
      <c r="I39" s="69">
        <v>274500</v>
      </c>
      <c r="J39" s="72">
        <v>1554750</v>
      </c>
    </row>
    <row r="40" spans="2:10" ht="18" customHeight="1" x14ac:dyDescent="0.35">
      <c r="B40" s="66">
        <v>30</v>
      </c>
      <c r="C40" s="67" t="s">
        <v>101</v>
      </c>
      <c r="D40" s="68">
        <v>21.17</v>
      </c>
      <c r="E40" s="69">
        <v>84</v>
      </c>
      <c r="F40" s="70">
        <v>0.25198999999999999</v>
      </c>
      <c r="G40" s="71" t="s">
        <v>171</v>
      </c>
      <c r="H40" s="69">
        <v>623000</v>
      </c>
      <c r="I40" s="69">
        <v>651000</v>
      </c>
      <c r="J40" s="72">
        <v>1274000</v>
      </c>
    </row>
    <row r="41" spans="2:10" ht="18" customHeight="1" x14ac:dyDescent="0.35">
      <c r="B41" s="66">
        <v>31</v>
      </c>
      <c r="C41" s="67" t="s">
        <v>83</v>
      </c>
      <c r="D41" s="68">
        <v>20.66</v>
      </c>
      <c r="E41" s="69">
        <v>84</v>
      </c>
      <c r="F41" s="70">
        <v>0.24593000000000001</v>
      </c>
      <c r="G41" s="71" t="s">
        <v>171</v>
      </c>
      <c r="H41" s="69">
        <v>1063950</v>
      </c>
      <c r="I41" s="69">
        <v>271650</v>
      </c>
      <c r="J41" s="72">
        <v>1335600</v>
      </c>
    </row>
    <row r="42" spans="2:10" ht="18" customHeight="1" x14ac:dyDescent="0.35">
      <c r="B42" s="66">
        <v>32</v>
      </c>
      <c r="C42" s="67" t="s">
        <v>90</v>
      </c>
      <c r="D42" s="68">
        <v>16.3</v>
      </c>
      <c r="E42" s="69">
        <v>84</v>
      </c>
      <c r="F42" s="70">
        <v>0.19405</v>
      </c>
      <c r="G42" s="71" t="s">
        <v>171</v>
      </c>
      <c r="H42" s="69">
        <v>1029010</v>
      </c>
      <c r="I42" s="69">
        <v>0</v>
      </c>
      <c r="J42" s="72">
        <v>1029010</v>
      </c>
    </row>
    <row r="43" spans="2:10" ht="18" customHeight="1" x14ac:dyDescent="0.35">
      <c r="B43" s="66">
        <v>33</v>
      </c>
      <c r="C43" s="67" t="s">
        <v>145</v>
      </c>
      <c r="D43" s="68">
        <v>16.09</v>
      </c>
      <c r="E43" s="69">
        <v>84</v>
      </c>
      <c r="F43" s="70">
        <v>0.19158</v>
      </c>
      <c r="G43" s="71" t="s">
        <v>171</v>
      </c>
      <c r="H43" s="69">
        <v>0</v>
      </c>
      <c r="I43" s="69">
        <v>1100180</v>
      </c>
      <c r="J43" s="72">
        <v>1100180</v>
      </c>
    </row>
    <row r="44" spans="2:10" ht="18" customHeight="1" x14ac:dyDescent="0.35">
      <c r="B44" s="66">
        <v>34</v>
      </c>
      <c r="C44" s="67" t="s">
        <v>111</v>
      </c>
      <c r="D44" s="68">
        <v>15.43</v>
      </c>
      <c r="E44" s="69">
        <v>84</v>
      </c>
      <c r="F44" s="70">
        <v>0.18364</v>
      </c>
      <c r="G44" s="71" t="s">
        <v>171</v>
      </c>
      <c r="H44" s="69">
        <v>644390</v>
      </c>
      <c r="I44" s="69">
        <v>1219998</v>
      </c>
      <c r="J44" s="72">
        <v>1864388</v>
      </c>
    </row>
    <row r="45" spans="2:10" ht="18" customHeight="1" x14ac:dyDescent="0.35">
      <c r="B45" s="66">
        <v>35</v>
      </c>
      <c r="C45" s="67" t="s">
        <v>113</v>
      </c>
      <c r="D45" s="68">
        <v>15.09</v>
      </c>
      <c r="E45" s="69">
        <v>84</v>
      </c>
      <c r="F45" s="70">
        <v>0.17968000000000001</v>
      </c>
      <c r="G45" s="71" t="s">
        <v>171</v>
      </c>
      <c r="H45" s="69">
        <v>649000</v>
      </c>
      <c r="I45" s="69">
        <v>0</v>
      </c>
      <c r="J45" s="72">
        <v>649000</v>
      </c>
    </row>
    <row r="46" spans="2:10" ht="18" customHeight="1" x14ac:dyDescent="0.35">
      <c r="B46" s="66">
        <v>36</v>
      </c>
      <c r="C46" s="67" t="s">
        <v>108</v>
      </c>
      <c r="D46" s="68">
        <v>14.45</v>
      </c>
      <c r="E46" s="69">
        <v>84</v>
      </c>
      <c r="F46" s="70">
        <v>0.17205000000000001</v>
      </c>
      <c r="G46" s="71" t="s">
        <v>171</v>
      </c>
      <c r="H46" s="69">
        <v>942148</v>
      </c>
      <c r="I46" s="69">
        <v>0</v>
      </c>
      <c r="J46" s="72">
        <v>942148</v>
      </c>
    </row>
    <row r="47" spans="2:10" ht="18" customHeight="1" x14ac:dyDescent="0.35">
      <c r="B47" s="66">
        <v>37</v>
      </c>
      <c r="C47" s="67" t="s">
        <v>87</v>
      </c>
      <c r="D47" s="68">
        <v>10.96</v>
      </c>
      <c r="E47" s="69">
        <v>84</v>
      </c>
      <c r="F47" s="70">
        <v>0.13044</v>
      </c>
      <c r="G47" s="71" t="s">
        <v>171</v>
      </c>
      <c r="H47" s="69">
        <v>678460</v>
      </c>
      <c r="I47" s="69">
        <v>0</v>
      </c>
      <c r="J47" s="72">
        <v>678460</v>
      </c>
    </row>
    <row r="48" spans="2:10" ht="18" customHeight="1" x14ac:dyDescent="0.35">
      <c r="B48" s="66">
        <v>38</v>
      </c>
      <c r="C48" s="67" t="s">
        <v>86</v>
      </c>
      <c r="D48" s="68">
        <v>8.8000000000000007</v>
      </c>
      <c r="E48" s="69">
        <v>84</v>
      </c>
      <c r="F48" s="70">
        <v>0.10481</v>
      </c>
      <c r="G48" s="71" t="s">
        <v>171</v>
      </c>
      <c r="H48" s="69">
        <v>779540</v>
      </c>
      <c r="I48" s="69">
        <v>0</v>
      </c>
      <c r="J48" s="72">
        <v>779540</v>
      </c>
    </row>
    <row r="49" spans="2:10" ht="18" customHeight="1" x14ac:dyDescent="0.35">
      <c r="B49" s="66">
        <v>39</v>
      </c>
      <c r="C49" s="67" t="s">
        <v>144</v>
      </c>
      <c r="D49" s="68">
        <v>8.41</v>
      </c>
      <c r="E49" s="69">
        <v>84</v>
      </c>
      <c r="F49" s="70">
        <v>0.10016</v>
      </c>
      <c r="G49" s="71" t="s">
        <v>171</v>
      </c>
      <c r="H49" s="69">
        <v>0</v>
      </c>
      <c r="I49" s="69">
        <v>500200</v>
      </c>
      <c r="J49" s="72">
        <v>500200</v>
      </c>
    </row>
    <row r="50" spans="2:10" ht="18" customHeight="1" x14ac:dyDescent="0.35">
      <c r="B50" s="66">
        <v>40</v>
      </c>
      <c r="C50" s="67" t="s">
        <v>148</v>
      </c>
      <c r="D50" s="68">
        <v>7.3</v>
      </c>
      <c r="E50" s="69">
        <v>84</v>
      </c>
      <c r="F50" s="70">
        <v>8.6849999999999997E-2</v>
      </c>
      <c r="G50" s="71" t="s">
        <v>171</v>
      </c>
      <c r="H50" s="69">
        <v>0</v>
      </c>
      <c r="I50" s="69">
        <v>446128</v>
      </c>
      <c r="J50" s="72">
        <v>446128</v>
      </c>
    </row>
    <row r="51" spans="2:10" ht="18" customHeight="1" x14ac:dyDescent="0.35">
      <c r="B51" s="66">
        <v>41</v>
      </c>
      <c r="C51" s="67" t="s">
        <v>98</v>
      </c>
      <c r="D51" s="68">
        <v>6.56</v>
      </c>
      <c r="E51" s="69">
        <v>84</v>
      </c>
      <c r="F51" s="70">
        <v>7.8049999999999994E-2</v>
      </c>
      <c r="G51" s="71" t="s">
        <v>171</v>
      </c>
      <c r="H51" s="69">
        <v>851750</v>
      </c>
      <c r="I51" s="69">
        <v>203500</v>
      </c>
      <c r="J51" s="72">
        <v>1055250</v>
      </c>
    </row>
    <row r="52" spans="2:10" ht="18" customHeight="1" x14ac:dyDescent="0.35">
      <c r="B52" s="66">
        <v>42</v>
      </c>
      <c r="C52" s="67" t="s">
        <v>110</v>
      </c>
      <c r="D52" s="68">
        <v>6.41</v>
      </c>
      <c r="E52" s="69">
        <v>84</v>
      </c>
      <c r="F52" s="70">
        <v>7.6319999999999999E-2</v>
      </c>
      <c r="G52" s="71" t="s">
        <v>171</v>
      </c>
      <c r="H52" s="69">
        <v>1302000</v>
      </c>
      <c r="I52" s="69">
        <v>2272600</v>
      </c>
      <c r="J52" s="72">
        <v>3574600</v>
      </c>
    </row>
    <row r="53" spans="2:10" ht="18" customHeight="1" x14ac:dyDescent="0.35">
      <c r="B53" s="66">
        <v>43</v>
      </c>
      <c r="C53" s="67" t="s">
        <v>94</v>
      </c>
      <c r="D53" s="68">
        <v>6.37</v>
      </c>
      <c r="E53" s="69">
        <v>84</v>
      </c>
      <c r="F53" s="70">
        <v>7.578E-2</v>
      </c>
      <c r="G53" s="71" t="s">
        <v>171</v>
      </c>
      <c r="H53" s="69">
        <v>508750</v>
      </c>
      <c r="I53" s="69">
        <v>0</v>
      </c>
      <c r="J53" s="72">
        <v>508750</v>
      </c>
    </row>
    <row r="54" spans="2:10" ht="18" customHeight="1" x14ac:dyDescent="0.35">
      <c r="B54" s="66">
        <v>44</v>
      </c>
      <c r="C54" s="67" t="s">
        <v>106</v>
      </c>
      <c r="D54" s="68">
        <v>6.28</v>
      </c>
      <c r="E54" s="69">
        <v>84</v>
      </c>
      <c r="F54" s="70">
        <v>7.4789999999999995E-2</v>
      </c>
      <c r="G54" s="71" t="s">
        <v>171</v>
      </c>
      <c r="H54" s="69">
        <v>560900</v>
      </c>
      <c r="I54" s="69">
        <v>0</v>
      </c>
      <c r="J54" s="72">
        <v>560900</v>
      </c>
    </row>
    <row r="55" spans="2:10" ht="18" customHeight="1" x14ac:dyDescent="0.35">
      <c r="B55" s="66">
        <v>45</v>
      </c>
      <c r="C55" s="67" t="s">
        <v>142</v>
      </c>
      <c r="D55" s="68">
        <v>5.92</v>
      </c>
      <c r="E55" s="69">
        <v>84</v>
      </c>
      <c r="F55" s="70">
        <v>7.0510000000000003E-2</v>
      </c>
      <c r="G55" s="71" t="s">
        <v>171</v>
      </c>
      <c r="H55" s="69">
        <v>0</v>
      </c>
      <c r="I55" s="69">
        <v>542580</v>
      </c>
      <c r="J55" s="72">
        <v>542580</v>
      </c>
    </row>
    <row r="56" spans="2:10" ht="18" customHeight="1" x14ac:dyDescent="0.35">
      <c r="B56" s="66">
        <v>46</v>
      </c>
      <c r="C56" s="67" t="s">
        <v>147</v>
      </c>
      <c r="D56" s="68">
        <v>5.92</v>
      </c>
      <c r="E56" s="69">
        <v>84</v>
      </c>
      <c r="F56" s="70">
        <v>7.0510000000000003E-2</v>
      </c>
      <c r="G56" s="71" t="s">
        <v>171</v>
      </c>
      <c r="H56" s="69">
        <v>0</v>
      </c>
      <c r="I56" s="69">
        <v>542580</v>
      </c>
      <c r="J56" s="72">
        <v>542580</v>
      </c>
    </row>
    <row r="57" spans="2:10" ht="18" customHeight="1" x14ac:dyDescent="0.35">
      <c r="B57" s="66">
        <v>47</v>
      </c>
      <c r="C57" s="67" t="s">
        <v>141</v>
      </c>
      <c r="D57" s="68">
        <v>3.14</v>
      </c>
      <c r="E57" s="69">
        <v>84</v>
      </c>
      <c r="F57" s="70">
        <v>3.7379999999999997E-2</v>
      </c>
      <c r="G57" s="71" t="s">
        <v>171</v>
      </c>
      <c r="H57" s="69">
        <v>0</v>
      </c>
      <c r="I57" s="69">
        <v>381501</v>
      </c>
      <c r="J57" s="72">
        <v>381501</v>
      </c>
    </row>
    <row r="58" spans="2:10" ht="18" customHeight="1" x14ac:dyDescent="0.35">
      <c r="B58" s="66">
        <v>48</v>
      </c>
      <c r="C58" s="67" t="s">
        <v>112</v>
      </c>
      <c r="D58" s="68">
        <v>2.14</v>
      </c>
      <c r="E58" s="69">
        <v>84</v>
      </c>
      <c r="F58" s="70">
        <v>2.5510000000000001E-2</v>
      </c>
      <c r="G58" s="71" t="s">
        <v>171</v>
      </c>
      <c r="H58" s="69">
        <v>1586000</v>
      </c>
      <c r="I58" s="69">
        <v>1519500</v>
      </c>
      <c r="J58" s="72">
        <v>3105500</v>
      </c>
    </row>
    <row r="59" spans="2:10" ht="18" customHeight="1" x14ac:dyDescent="0.35">
      <c r="B59" s="66">
        <v>49</v>
      </c>
      <c r="C59" s="67" t="s">
        <v>81</v>
      </c>
      <c r="D59" s="68">
        <v>1.33</v>
      </c>
      <c r="E59" s="69">
        <v>84</v>
      </c>
      <c r="F59" s="70">
        <v>1.5869999999999999E-2</v>
      </c>
      <c r="G59" s="71" t="s">
        <v>171</v>
      </c>
      <c r="H59" s="69">
        <v>146501</v>
      </c>
      <c r="I59" s="69">
        <v>0</v>
      </c>
      <c r="J59" s="72">
        <v>146501</v>
      </c>
    </row>
    <row r="60" spans="2:10" ht="25" customHeight="1" x14ac:dyDescent="0.35">
      <c r="B60" s="1" t="s">
        <v>27</v>
      </c>
      <c r="C60" s="73" t="s">
        <v>172</v>
      </c>
      <c r="D60" s="74">
        <v>1620.09</v>
      </c>
      <c r="E60" s="23">
        <v>84</v>
      </c>
      <c r="F60" s="24">
        <v>0.39360787172011658</v>
      </c>
      <c r="G60" s="41"/>
      <c r="H60" s="23">
        <v>42997966</v>
      </c>
      <c r="I60" s="23">
        <v>49249988</v>
      </c>
      <c r="J60" s="43">
        <v>92247954</v>
      </c>
    </row>
  </sheetData>
  <mergeCells count="18">
    <mergeCell ref="B9:J9"/>
    <mergeCell ref="F6:G6"/>
    <mergeCell ref="H5:I5"/>
    <mergeCell ref="B2:J2"/>
    <mergeCell ref="D6:E6"/>
    <mergeCell ref="B6:C6"/>
    <mergeCell ref="B3:J3"/>
    <mergeCell ref="D7:E7"/>
    <mergeCell ref="B7:C7"/>
    <mergeCell ref="H6:I6"/>
    <mergeCell ref="J5:K5"/>
    <mergeCell ref="J6:K6"/>
    <mergeCell ref="B5:C5"/>
    <mergeCell ref="H7:I7"/>
    <mergeCell ref="F5:G5"/>
    <mergeCell ref="D5:E5"/>
    <mergeCell ref="F7:G7"/>
    <mergeCell ref="J7:K7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30"/>
  <sheetViews>
    <sheetView showGridLines="0" workbookViewId="0">
      <selection activeCell="H33" sqref="H33"/>
    </sheetView>
  </sheetViews>
  <sheetFormatPr baseColWidth="10" defaultColWidth="8.7265625" defaultRowHeight="14.5" x14ac:dyDescent="0.35"/>
  <cols>
    <col min="1" max="1" width="3" customWidth="1"/>
    <col min="2" max="2" width="28" customWidth="1"/>
    <col min="3" max="11" width="16" customWidth="1"/>
    <col min="12" max="13" width="14" customWidth="1"/>
  </cols>
  <sheetData>
    <row r="1" spans="2:13" ht="6" customHeight="1" x14ac:dyDescent="0.35"/>
    <row r="2" spans="2:13" ht="45" customHeight="1" x14ac:dyDescent="0.35">
      <c r="B2" s="239" t="s">
        <v>173</v>
      </c>
      <c r="C2" s="155"/>
      <c r="D2" s="155"/>
      <c r="E2" s="155"/>
      <c r="F2" s="155"/>
      <c r="G2" s="155"/>
      <c r="H2" s="155"/>
      <c r="I2" s="155"/>
      <c r="J2" s="155"/>
    </row>
    <row r="3" spans="2:13" ht="20" customHeight="1" x14ac:dyDescent="0.35">
      <c r="B3" s="238" t="s">
        <v>174</v>
      </c>
      <c r="C3" s="155"/>
      <c r="D3" s="155"/>
      <c r="E3" s="155"/>
      <c r="F3" s="155"/>
      <c r="G3" s="155"/>
      <c r="H3" s="155"/>
      <c r="I3" s="155"/>
      <c r="J3" s="155"/>
    </row>
    <row r="4" spans="2:13" ht="8" customHeight="1" x14ac:dyDescent="0.35"/>
    <row r="5" spans="2:13" ht="22" customHeight="1" x14ac:dyDescent="0.35">
      <c r="B5" s="234" t="s">
        <v>175</v>
      </c>
      <c r="C5" s="155"/>
      <c r="D5" s="155"/>
      <c r="E5" s="155"/>
      <c r="F5" s="155"/>
      <c r="G5" s="155"/>
      <c r="H5" s="155"/>
      <c r="I5" s="155"/>
      <c r="J5" s="155"/>
    </row>
    <row r="6" spans="2:13" ht="25" customHeight="1" x14ac:dyDescent="0.35">
      <c r="B6" s="75" t="s">
        <v>176</v>
      </c>
      <c r="C6" s="230" t="s">
        <v>177</v>
      </c>
      <c r="D6" s="196"/>
      <c r="E6" s="196"/>
      <c r="F6" s="196"/>
      <c r="G6" s="196"/>
      <c r="H6" s="196"/>
      <c r="I6" s="196"/>
      <c r="J6" s="149"/>
    </row>
    <row r="7" spans="2:13" ht="25" customHeight="1" x14ac:dyDescent="0.35">
      <c r="B7" s="76" t="s">
        <v>178</v>
      </c>
      <c r="C7" s="235" t="s">
        <v>179</v>
      </c>
      <c r="D7" s="196"/>
      <c r="E7" s="196"/>
      <c r="F7" s="196"/>
      <c r="G7" s="196"/>
      <c r="H7" s="196"/>
      <c r="I7" s="196"/>
      <c r="J7" s="149"/>
    </row>
    <row r="8" spans="2:13" ht="25" customHeight="1" x14ac:dyDescent="0.35">
      <c r="B8" s="75" t="s">
        <v>180</v>
      </c>
      <c r="C8" s="230" t="s">
        <v>181</v>
      </c>
      <c r="D8" s="196"/>
      <c r="E8" s="196"/>
      <c r="F8" s="196"/>
      <c r="G8" s="196"/>
      <c r="H8" s="196"/>
      <c r="I8" s="196"/>
      <c r="J8" s="149"/>
    </row>
    <row r="9" spans="2:13" ht="25" customHeight="1" x14ac:dyDescent="0.35">
      <c r="B9" s="76" t="s">
        <v>182</v>
      </c>
      <c r="C9" s="235" t="s">
        <v>183</v>
      </c>
      <c r="D9" s="196"/>
      <c r="E9" s="196"/>
      <c r="F9" s="196"/>
      <c r="G9" s="196"/>
      <c r="H9" s="196"/>
      <c r="I9" s="196"/>
      <c r="J9" s="149"/>
    </row>
    <row r="10" spans="2:13" ht="25" customHeight="1" x14ac:dyDescent="0.35">
      <c r="B10" s="75" t="s">
        <v>184</v>
      </c>
      <c r="C10" s="230" t="s">
        <v>185</v>
      </c>
      <c r="D10" s="196"/>
      <c r="E10" s="196"/>
      <c r="F10" s="196"/>
      <c r="G10" s="196"/>
      <c r="H10" s="196"/>
      <c r="I10" s="196"/>
      <c r="J10" s="149"/>
    </row>
    <row r="11" spans="2:13" ht="25" customHeight="1" x14ac:dyDescent="0.35">
      <c r="B11" s="76" t="s">
        <v>186</v>
      </c>
      <c r="C11" s="235" t="s">
        <v>187</v>
      </c>
      <c r="D11" s="196"/>
      <c r="E11" s="196"/>
      <c r="F11" s="196"/>
      <c r="G11" s="196"/>
      <c r="H11" s="196"/>
      <c r="I11" s="196"/>
      <c r="J11" s="149"/>
    </row>
    <row r="12" spans="2:13" ht="12" customHeight="1" x14ac:dyDescent="0.35"/>
    <row r="13" spans="2:13" ht="22" customHeight="1" x14ac:dyDescent="0.35">
      <c r="B13" s="232" t="s">
        <v>188</v>
      </c>
      <c r="C13" s="155"/>
      <c r="D13" s="155"/>
      <c r="E13" s="155"/>
      <c r="F13" s="155"/>
      <c r="G13" s="155"/>
      <c r="H13" s="155"/>
      <c r="I13" s="155"/>
      <c r="J13" s="155"/>
    </row>
    <row r="14" spans="2:13" ht="38" customHeight="1" x14ac:dyDescent="0.35">
      <c r="B14" s="77" t="s">
        <v>189</v>
      </c>
      <c r="C14" s="77" t="s">
        <v>190</v>
      </c>
      <c r="D14" s="77" t="s">
        <v>191</v>
      </c>
      <c r="E14" s="77" t="s">
        <v>192</v>
      </c>
      <c r="F14" s="77" t="s">
        <v>193</v>
      </c>
      <c r="G14" s="77" t="s">
        <v>194</v>
      </c>
      <c r="K14" t="s">
        <v>195</v>
      </c>
      <c r="L14" t="s">
        <v>25</v>
      </c>
      <c r="M14" t="s">
        <v>196</v>
      </c>
    </row>
    <row r="15" spans="2:13" ht="22" customHeight="1" x14ac:dyDescent="0.35">
      <c r="B15" s="78" t="s">
        <v>197</v>
      </c>
      <c r="C15" s="79">
        <v>1410897.73</v>
      </c>
      <c r="D15" s="79">
        <v>1334605.1499999999</v>
      </c>
      <c r="E15" s="80">
        <v>2745502.88</v>
      </c>
      <c r="F15" s="81">
        <v>-76292.580000000075</v>
      </c>
      <c r="G15" s="82">
        <v>-5.4073784639231133E-2</v>
      </c>
      <c r="K15" t="s">
        <v>198</v>
      </c>
      <c r="L15">
        <v>933.82</v>
      </c>
      <c r="M15">
        <v>3.890916666666667</v>
      </c>
    </row>
    <row r="16" spans="2:13" ht="22" customHeight="1" x14ac:dyDescent="0.35">
      <c r="B16" s="83" t="s">
        <v>199</v>
      </c>
      <c r="C16" s="84">
        <v>240</v>
      </c>
      <c r="D16" s="84">
        <v>240</v>
      </c>
      <c r="E16" s="85">
        <v>480</v>
      </c>
      <c r="F16" s="86" t="s">
        <v>27</v>
      </c>
      <c r="G16" s="86" t="s">
        <v>27</v>
      </c>
      <c r="K16" t="s">
        <v>200</v>
      </c>
      <c r="L16">
        <v>1116.9000000000001</v>
      </c>
      <c r="M16">
        <v>4.6537499999999996</v>
      </c>
    </row>
    <row r="17" spans="2:10" ht="22" customHeight="1" x14ac:dyDescent="0.35">
      <c r="B17" s="87" t="s">
        <v>201</v>
      </c>
      <c r="C17" s="88">
        <v>933.82</v>
      </c>
      <c r="D17" s="88">
        <v>1116.9000000000001</v>
      </c>
      <c r="E17" s="89">
        <v>2050.7199999999998</v>
      </c>
      <c r="F17" s="90">
        <v>183.08</v>
      </c>
      <c r="G17" s="91">
        <v>0.1960549142232979</v>
      </c>
    </row>
    <row r="18" spans="2:10" ht="22" customHeight="1" x14ac:dyDescent="0.35">
      <c r="B18" s="83" t="s">
        <v>202</v>
      </c>
      <c r="C18" s="92">
        <v>5878.740541666667</v>
      </c>
      <c r="D18" s="92">
        <v>5560.8547916666666</v>
      </c>
      <c r="E18" s="93">
        <v>5719.7976666666673</v>
      </c>
      <c r="F18" s="81">
        <v>-317.88575000000043</v>
      </c>
      <c r="G18" s="82">
        <v>-5.407378463923114E-2</v>
      </c>
    </row>
    <row r="19" spans="2:10" ht="22" customHeight="1" x14ac:dyDescent="0.35">
      <c r="B19" s="94" t="s">
        <v>203</v>
      </c>
      <c r="C19" s="95">
        <v>3.890916666666667</v>
      </c>
      <c r="D19" s="95">
        <v>4.6537499999999996</v>
      </c>
      <c r="E19" s="96">
        <v>4.272333333333334</v>
      </c>
      <c r="F19" s="90">
        <v>0.76283333333333347</v>
      </c>
      <c r="G19" s="91">
        <v>0.1960549142232979</v>
      </c>
    </row>
    <row r="20" spans="2:10" ht="22" customHeight="1" x14ac:dyDescent="0.35">
      <c r="B20" s="97" t="s">
        <v>204</v>
      </c>
      <c r="C20" s="98">
        <v>1510.888318947977</v>
      </c>
      <c r="D20" s="98">
        <v>1194.919106455367</v>
      </c>
      <c r="E20" s="99">
        <v>1352.903712701672</v>
      </c>
      <c r="F20" s="81">
        <v>-315.96921249260959</v>
      </c>
      <c r="G20" s="82">
        <v>-0.20912810598245751</v>
      </c>
    </row>
    <row r="21" spans="2:10" ht="22" customHeight="1" x14ac:dyDescent="0.35">
      <c r="B21" s="78" t="s">
        <v>205</v>
      </c>
      <c r="C21" s="100">
        <v>2.4335001157832381E-2</v>
      </c>
      <c r="D21" s="100">
        <v>2.1586059909578129E-2</v>
      </c>
      <c r="E21" s="101">
        <v>2.2916372140538498E-2</v>
      </c>
      <c r="F21" s="102">
        <v>-2.7489412482542479E-3</v>
      </c>
      <c r="G21" s="82">
        <v>-0.112962445755606</v>
      </c>
    </row>
    <row r="22" spans="2:10" ht="22" customHeight="1" x14ac:dyDescent="0.35">
      <c r="B22" s="83" t="s">
        <v>206</v>
      </c>
      <c r="C22" s="103">
        <v>7.5459389953327176E-3</v>
      </c>
      <c r="D22" s="103">
        <v>7.137901515198321E-3</v>
      </c>
      <c r="E22" s="104">
        <v>2.9367681021062079E-2</v>
      </c>
      <c r="F22" s="86" t="s">
        <v>27</v>
      </c>
      <c r="G22" s="86" t="s">
        <v>27</v>
      </c>
    </row>
    <row r="23" spans="2:10" ht="12" customHeight="1" x14ac:dyDescent="0.35"/>
    <row r="24" spans="2:10" ht="22" customHeight="1" x14ac:dyDescent="0.35">
      <c r="B24" s="234" t="s">
        <v>207</v>
      </c>
      <c r="C24" s="155"/>
      <c r="D24" s="155"/>
      <c r="E24" s="155"/>
      <c r="F24" s="155"/>
      <c r="G24" s="155"/>
      <c r="H24" s="155"/>
      <c r="I24" s="155"/>
      <c r="J24" s="155"/>
    </row>
    <row r="25" spans="2:10" x14ac:dyDescent="0.35">
      <c r="B25" s="77" t="s">
        <v>208</v>
      </c>
      <c r="C25" s="229" t="s">
        <v>209</v>
      </c>
      <c r="D25" s="196"/>
      <c r="E25" s="196"/>
      <c r="F25" s="196"/>
      <c r="G25" s="196"/>
      <c r="H25" s="149"/>
      <c r="I25" s="229" t="s">
        <v>210</v>
      </c>
      <c r="J25" s="149"/>
    </row>
    <row r="26" spans="2:10" ht="40" customHeight="1" x14ac:dyDescent="0.35">
      <c r="B26" s="105" t="s">
        <v>211</v>
      </c>
      <c r="C26" s="236" t="s">
        <v>212</v>
      </c>
      <c r="D26" s="196"/>
      <c r="E26" s="196"/>
      <c r="F26" s="196"/>
      <c r="G26" s="196"/>
      <c r="H26" s="149"/>
      <c r="I26" s="231" t="s">
        <v>213</v>
      </c>
      <c r="J26" s="149"/>
    </row>
    <row r="27" spans="2:10" ht="40" customHeight="1" x14ac:dyDescent="0.35">
      <c r="B27" s="106" t="s">
        <v>214</v>
      </c>
      <c r="C27" s="233" t="s">
        <v>215</v>
      </c>
      <c r="D27" s="196"/>
      <c r="E27" s="196"/>
      <c r="F27" s="196"/>
      <c r="G27" s="196"/>
      <c r="H27" s="149"/>
      <c r="I27" s="231" t="s">
        <v>213</v>
      </c>
      <c r="J27" s="149"/>
    </row>
    <row r="28" spans="2:10" ht="40" customHeight="1" x14ac:dyDescent="0.35">
      <c r="B28" s="105" t="s">
        <v>216</v>
      </c>
      <c r="C28" s="236" t="s">
        <v>217</v>
      </c>
      <c r="D28" s="196"/>
      <c r="E28" s="196"/>
      <c r="F28" s="196"/>
      <c r="G28" s="196"/>
      <c r="H28" s="149"/>
      <c r="I28" s="231" t="s">
        <v>213</v>
      </c>
      <c r="J28" s="149"/>
    </row>
    <row r="29" spans="2:10" ht="40" customHeight="1" x14ac:dyDescent="0.35">
      <c r="B29" s="107" t="s">
        <v>218</v>
      </c>
      <c r="C29" s="233" t="s">
        <v>219</v>
      </c>
      <c r="D29" s="196"/>
      <c r="E29" s="196"/>
      <c r="F29" s="196"/>
      <c r="G29" s="196"/>
      <c r="H29" s="149"/>
      <c r="I29" s="237" t="s">
        <v>220</v>
      </c>
      <c r="J29" s="149"/>
    </row>
    <row r="30" spans="2:10" ht="40" customHeight="1" x14ac:dyDescent="0.35">
      <c r="B30" s="108" t="s">
        <v>221</v>
      </c>
      <c r="C30" s="236" t="s">
        <v>222</v>
      </c>
      <c r="D30" s="196"/>
      <c r="E30" s="196"/>
      <c r="F30" s="196"/>
      <c r="G30" s="196"/>
      <c r="H30" s="149"/>
      <c r="I30" s="148" t="s">
        <v>223</v>
      </c>
      <c r="J30" s="149"/>
    </row>
  </sheetData>
  <mergeCells count="23">
    <mergeCell ref="B3:J3"/>
    <mergeCell ref="C7:J7"/>
    <mergeCell ref="C26:H26"/>
    <mergeCell ref="C29:H29"/>
    <mergeCell ref="B2:J2"/>
    <mergeCell ref="B5:J5"/>
    <mergeCell ref="C28:H28"/>
    <mergeCell ref="C11:J11"/>
    <mergeCell ref="C30:H30"/>
    <mergeCell ref="C8:J8"/>
    <mergeCell ref="I29:J29"/>
    <mergeCell ref="I30:J30"/>
    <mergeCell ref="C25:H25"/>
    <mergeCell ref="C6:J6"/>
    <mergeCell ref="I27:J27"/>
    <mergeCell ref="B13:J13"/>
    <mergeCell ref="I26:J26"/>
    <mergeCell ref="C27:H27"/>
    <mergeCell ref="I25:J25"/>
    <mergeCell ref="C10:J10"/>
    <mergeCell ref="I28:J28"/>
    <mergeCell ref="B24:J24"/>
    <mergeCell ref="C9:J9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J28"/>
  <sheetViews>
    <sheetView showGridLines="0" workbookViewId="0">
      <selection activeCell="F12" sqref="F12"/>
    </sheetView>
  </sheetViews>
  <sheetFormatPr baseColWidth="10" defaultColWidth="8.7265625" defaultRowHeight="14.5" x14ac:dyDescent="0.35"/>
  <cols>
    <col min="1" max="1" width="3" customWidth="1"/>
    <col min="2" max="2" width="30" customWidth="1"/>
    <col min="3" max="3" width="18" customWidth="1"/>
    <col min="4" max="8" width="14" customWidth="1"/>
    <col min="9" max="9" width="25" customWidth="1"/>
    <col min="10" max="10" width="14" customWidth="1"/>
  </cols>
  <sheetData>
    <row r="1" spans="2:10" ht="6" customHeight="1" x14ac:dyDescent="0.35"/>
    <row r="2" spans="2:10" ht="40" customHeight="1" x14ac:dyDescent="0.35">
      <c r="B2" s="243" t="s">
        <v>224</v>
      </c>
      <c r="C2" s="155"/>
      <c r="D2" s="155"/>
      <c r="E2" s="155"/>
      <c r="F2" s="155"/>
      <c r="G2" s="155"/>
      <c r="H2" s="155"/>
    </row>
    <row r="3" spans="2:10" ht="20" customHeight="1" x14ac:dyDescent="0.35">
      <c r="B3" s="238" t="s">
        <v>225</v>
      </c>
      <c r="C3" s="155"/>
      <c r="D3" s="155"/>
      <c r="E3" s="155"/>
      <c r="F3" s="155"/>
      <c r="G3" s="155"/>
      <c r="H3" s="155"/>
    </row>
    <row r="4" spans="2:10" ht="8" customHeight="1" x14ac:dyDescent="0.35"/>
    <row r="5" spans="2:10" ht="22" customHeight="1" x14ac:dyDescent="0.35">
      <c r="B5" s="244" t="s">
        <v>226</v>
      </c>
      <c r="C5" s="155"/>
      <c r="D5" s="155"/>
      <c r="E5" s="155"/>
      <c r="F5" s="155"/>
      <c r="G5" s="155"/>
      <c r="H5" s="155"/>
    </row>
    <row r="6" spans="2:10" ht="35" customHeight="1" x14ac:dyDescent="0.35">
      <c r="B6" s="168" t="s">
        <v>227</v>
      </c>
      <c r="C6" s="155"/>
      <c r="D6" s="246" t="s">
        <v>228</v>
      </c>
      <c r="E6" s="247"/>
      <c r="F6" s="176" t="s">
        <v>229</v>
      </c>
      <c r="G6" s="155"/>
      <c r="H6" s="241" t="s">
        <v>230</v>
      </c>
      <c r="I6" s="155"/>
    </row>
    <row r="7" spans="2:10" ht="40" customHeight="1" x14ac:dyDescent="0.35">
      <c r="B7" s="240">
        <v>93487220.799999997</v>
      </c>
      <c r="C7" s="155"/>
      <c r="D7" s="250">
        <v>48514.385469641929</v>
      </c>
      <c r="E7" s="247"/>
      <c r="F7" s="245">
        <v>63934305.5</v>
      </c>
      <c r="G7" s="155"/>
      <c r="H7" s="242">
        <v>30487750</v>
      </c>
      <c r="I7" s="155"/>
    </row>
    <row r="8" spans="2:10" ht="14" customHeight="1" x14ac:dyDescent="0.35">
      <c r="B8" s="216"/>
      <c r="C8" s="155"/>
      <c r="D8" s="216"/>
      <c r="E8" s="155"/>
      <c r="F8" s="216"/>
      <c r="G8" s="155"/>
      <c r="H8" s="216"/>
      <c r="I8" s="155"/>
    </row>
    <row r="9" spans="2:10" ht="10" customHeight="1" x14ac:dyDescent="0.35"/>
    <row r="10" spans="2:10" ht="22" customHeight="1" x14ac:dyDescent="0.35">
      <c r="B10" s="232" t="s">
        <v>231</v>
      </c>
      <c r="C10" s="155"/>
      <c r="D10" s="155"/>
      <c r="E10" s="155"/>
      <c r="F10" s="155"/>
      <c r="G10" s="155"/>
      <c r="H10" s="155"/>
    </row>
    <row r="11" spans="2:10" ht="30" customHeight="1" x14ac:dyDescent="0.35">
      <c r="B11" s="77" t="s">
        <v>232</v>
      </c>
      <c r="C11" s="77" t="s">
        <v>233</v>
      </c>
      <c r="D11" s="77" t="s">
        <v>234</v>
      </c>
      <c r="E11" s="77" t="s">
        <v>235</v>
      </c>
      <c r="F11" s="77" t="s">
        <v>189</v>
      </c>
      <c r="I11" t="s">
        <v>236</v>
      </c>
      <c r="J11" t="s">
        <v>237</v>
      </c>
    </row>
    <row r="12" spans="2:10" ht="20" customHeight="1" x14ac:dyDescent="0.35">
      <c r="B12" s="2" t="s">
        <v>238</v>
      </c>
      <c r="C12" s="109">
        <v>63934305.5</v>
      </c>
      <c r="D12" s="4">
        <v>0.68389999999999995</v>
      </c>
      <c r="E12" s="110">
        <v>0.68389999999999995</v>
      </c>
      <c r="F12" s="111" t="s">
        <v>239</v>
      </c>
      <c r="I12" t="s">
        <v>240</v>
      </c>
      <c r="J12" s="251">
        <v>63934305</v>
      </c>
    </row>
    <row r="13" spans="2:10" ht="20" customHeight="1" x14ac:dyDescent="0.35">
      <c r="B13" s="6" t="s">
        <v>241</v>
      </c>
      <c r="C13" s="112">
        <v>15487750</v>
      </c>
      <c r="D13" s="8">
        <v>0.16569999999999999</v>
      </c>
      <c r="E13" s="113">
        <v>0.84960000000000013</v>
      </c>
      <c r="F13" s="114" t="s">
        <v>242</v>
      </c>
      <c r="I13" t="s">
        <v>243</v>
      </c>
      <c r="J13" s="251">
        <v>10412790</v>
      </c>
    </row>
    <row r="14" spans="2:10" ht="20" customHeight="1" x14ac:dyDescent="0.35">
      <c r="B14" s="2" t="s">
        <v>244</v>
      </c>
      <c r="C14" s="109">
        <v>15000000</v>
      </c>
      <c r="D14" s="4">
        <v>0.16039999999999999</v>
      </c>
      <c r="E14" s="110">
        <v>1.01</v>
      </c>
      <c r="F14" s="115" t="s">
        <v>245</v>
      </c>
      <c r="I14" t="s">
        <v>241</v>
      </c>
      <c r="J14" s="251">
        <v>15487750</v>
      </c>
    </row>
    <row r="15" spans="2:10" ht="20" customHeight="1" x14ac:dyDescent="0.35">
      <c r="B15" s="116" t="s">
        <v>243</v>
      </c>
      <c r="C15" s="7">
        <v>10412790</v>
      </c>
      <c r="D15" s="8">
        <v>0.1114</v>
      </c>
      <c r="E15" s="113">
        <v>1.1214</v>
      </c>
      <c r="F15" s="117" t="s">
        <v>246</v>
      </c>
      <c r="I15" t="s">
        <v>244</v>
      </c>
      <c r="J15" s="251">
        <v>15000000</v>
      </c>
    </row>
    <row r="16" spans="2:10" ht="20" customHeight="1" x14ac:dyDescent="0.35">
      <c r="B16" s="118" t="s">
        <v>247</v>
      </c>
      <c r="C16" s="3">
        <v>6730000</v>
      </c>
      <c r="D16" s="4">
        <v>7.2000000000000008E-2</v>
      </c>
      <c r="E16" s="110">
        <v>1.1934</v>
      </c>
      <c r="F16" s="119" t="s">
        <v>248</v>
      </c>
      <c r="I16" t="s">
        <v>249</v>
      </c>
      <c r="J16" s="251">
        <v>6730000</v>
      </c>
    </row>
    <row r="17" spans="2:10" ht="20" customHeight="1" x14ac:dyDescent="0.35">
      <c r="B17" s="116" t="s">
        <v>250</v>
      </c>
      <c r="C17" s="7">
        <v>5917314.5</v>
      </c>
      <c r="D17" s="8">
        <v>6.3299999999999995E-2</v>
      </c>
      <c r="E17" s="113">
        <v>1.2566999999999999</v>
      </c>
      <c r="F17" s="120" t="s">
        <v>251</v>
      </c>
      <c r="I17" t="s">
        <v>252</v>
      </c>
      <c r="J17" s="251">
        <v>4900000</v>
      </c>
    </row>
    <row r="18" spans="2:10" ht="20" customHeight="1" x14ac:dyDescent="0.35">
      <c r="B18" s="118" t="s">
        <v>252</v>
      </c>
      <c r="C18" s="3">
        <v>4900000</v>
      </c>
      <c r="D18" s="4">
        <v>5.2400000000000002E-2</v>
      </c>
      <c r="E18" s="110">
        <v>1.3090999999999999</v>
      </c>
      <c r="F18" s="121" t="s">
        <v>253</v>
      </c>
      <c r="I18" t="s">
        <v>254</v>
      </c>
      <c r="J18" s="251">
        <v>14859547</v>
      </c>
    </row>
    <row r="19" spans="2:10" ht="20" customHeight="1" x14ac:dyDescent="0.35">
      <c r="B19" s="116" t="s">
        <v>255</v>
      </c>
      <c r="C19" s="7">
        <v>3794195.5</v>
      </c>
      <c r="D19" s="8">
        <v>4.0599999999999997E-2</v>
      </c>
      <c r="E19" s="113">
        <v>1.3496999999999999</v>
      </c>
      <c r="F19" s="122" t="s">
        <v>256</v>
      </c>
    </row>
    <row r="20" spans="2:10" ht="20" customHeight="1" x14ac:dyDescent="0.35">
      <c r="B20" s="118" t="s">
        <v>257</v>
      </c>
      <c r="C20" s="3">
        <v>2988300.3</v>
      </c>
      <c r="D20" s="4">
        <v>3.2000000000000001E-2</v>
      </c>
      <c r="E20" s="110">
        <v>1.3816999999999999</v>
      </c>
      <c r="F20" s="123" t="s">
        <v>258</v>
      </c>
    </row>
    <row r="21" spans="2:10" ht="20" customHeight="1" x14ac:dyDescent="0.35">
      <c r="B21" s="116" t="s">
        <v>259</v>
      </c>
      <c r="C21" s="7">
        <v>2846897.73</v>
      </c>
      <c r="D21" s="8">
        <v>3.0499999999999999E-2</v>
      </c>
      <c r="E21" s="113">
        <v>1.4121999999999999</v>
      </c>
      <c r="F21" s="124" t="s">
        <v>260</v>
      </c>
    </row>
    <row r="22" spans="2:10" ht="20" customHeight="1" x14ac:dyDescent="0.35">
      <c r="B22" s="118" t="s">
        <v>261</v>
      </c>
      <c r="C22" s="3">
        <v>2799334</v>
      </c>
      <c r="D22" s="4">
        <v>2.9899999999999999E-2</v>
      </c>
      <c r="E22" s="110">
        <v>1.4420999999999999</v>
      </c>
      <c r="F22" s="125" t="s">
        <v>262</v>
      </c>
    </row>
    <row r="23" spans="2:10" ht="20" customHeight="1" x14ac:dyDescent="0.35">
      <c r="B23" s="116" t="s">
        <v>263</v>
      </c>
      <c r="C23" s="7">
        <v>2353887</v>
      </c>
      <c r="D23" s="8">
        <v>2.52E-2</v>
      </c>
      <c r="E23" s="113">
        <v>1.4673</v>
      </c>
      <c r="F23" s="126" t="s">
        <v>264</v>
      </c>
    </row>
    <row r="24" spans="2:10" ht="20" customHeight="1" x14ac:dyDescent="0.35">
      <c r="B24" s="118" t="s">
        <v>265</v>
      </c>
      <c r="C24" s="3">
        <v>1841400</v>
      </c>
      <c r="D24" s="4">
        <v>1.9699999999999999E-2</v>
      </c>
      <c r="E24" s="110">
        <v>1.4870000000000001</v>
      </c>
      <c r="F24" s="127" t="s">
        <v>266</v>
      </c>
    </row>
    <row r="25" spans="2:10" ht="20" customHeight="1" x14ac:dyDescent="0.35">
      <c r="B25" s="116" t="s">
        <v>267</v>
      </c>
      <c r="C25" s="7">
        <v>1753400</v>
      </c>
      <c r="D25" s="8">
        <v>1.8800000000000001E-2</v>
      </c>
      <c r="E25" s="113">
        <v>1.5058</v>
      </c>
      <c r="F25" s="128" t="s">
        <v>268</v>
      </c>
    </row>
    <row r="26" spans="2:10" ht="20" customHeight="1" x14ac:dyDescent="0.35">
      <c r="B26" s="118" t="s">
        <v>269</v>
      </c>
      <c r="C26" s="3">
        <v>600625</v>
      </c>
      <c r="D26" s="4">
        <v>6.4000000000000003E-3</v>
      </c>
      <c r="E26" s="110">
        <v>1.5122</v>
      </c>
      <c r="F26" s="129" t="s">
        <v>270</v>
      </c>
    </row>
    <row r="27" spans="2:10" ht="20" customHeight="1" x14ac:dyDescent="0.35">
      <c r="B27" s="116" t="s">
        <v>271</v>
      </c>
      <c r="C27" s="7">
        <v>326400</v>
      </c>
      <c r="D27" s="8">
        <v>3.5000000000000001E-3</v>
      </c>
      <c r="E27" s="113">
        <v>1.5157</v>
      </c>
      <c r="F27" s="130" t="s">
        <v>272</v>
      </c>
    </row>
    <row r="28" spans="2:10" ht="25" customHeight="1" x14ac:dyDescent="0.35">
      <c r="B28" s="131" t="s">
        <v>273</v>
      </c>
      <c r="C28" s="132">
        <v>93487220.799999997</v>
      </c>
      <c r="D28" s="133">
        <v>1</v>
      </c>
      <c r="E28" s="134"/>
      <c r="F28" s="134"/>
    </row>
  </sheetData>
  <mergeCells count="16">
    <mergeCell ref="H6:I6"/>
    <mergeCell ref="H7:I7"/>
    <mergeCell ref="B2:H2"/>
    <mergeCell ref="F6:G6"/>
    <mergeCell ref="B10:H10"/>
    <mergeCell ref="H8:I8"/>
    <mergeCell ref="B3:H3"/>
    <mergeCell ref="B5:H5"/>
    <mergeCell ref="F7:G7"/>
    <mergeCell ref="F8:G8"/>
    <mergeCell ref="B8:C8"/>
    <mergeCell ref="D6:E6"/>
    <mergeCell ref="B6:C6"/>
    <mergeCell ref="D8:E8"/>
    <mergeCell ref="D7:E7"/>
    <mergeCell ref="B7:C7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64"/>
  <sheetViews>
    <sheetView showGridLines="0" topLeftCell="A74" workbookViewId="0"/>
  </sheetViews>
  <sheetFormatPr baseColWidth="10" defaultColWidth="8.7265625" defaultRowHeight="14.5" x14ac:dyDescent="0.35"/>
  <cols>
    <col min="1" max="1" width="3" customWidth="1"/>
    <col min="2" max="2" width="7" customWidth="1"/>
    <col min="3" max="3" width="26" customWidth="1"/>
    <col min="4" max="4" width="8" customWidth="1"/>
    <col min="5" max="5" width="10" customWidth="1"/>
    <col min="6" max="6" width="14" customWidth="1"/>
    <col min="7" max="7" width="15" customWidth="1"/>
    <col min="8" max="9" width="10" customWidth="1"/>
    <col min="10" max="10" width="12" customWidth="1"/>
    <col min="11" max="11" width="14" customWidth="1"/>
    <col min="12" max="12" width="12" customWidth="1"/>
  </cols>
  <sheetData>
    <row r="1" spans="1:14" ht="6" customHeight="1" x14ac:dyDescent="0.35">
      <c r="A1" s="252"/>
    </row>
    <row r="2" spans="1:14" ht="40" customHeight="1" x14ac:dyDescent="0.35">
      <c r="B2" s="201" t="s">
        <v>274</v>
      </c>
      <c r="C2" s="155"/>
      <c r="D2" s="155"/>
      <c r="E2" s="155"/>
      <c r="F2" s="155"/>
      <c r="G2" s="155"/>
      <c r="H2" s="155"/>
      <c r="I2" s="155"/>
      <c r="J2" s="155"/>
      <c r="K2" s="155"/>
      <c r="L2" s="155"/>
    </row>
    <row r="3" spans="1:14" ht="20" customHeight="1" x14ac:dyDescent="0.35">
      <c r="B3" s="166" t="s">
        <v>275</v>
      </c>
      <c r="C3" s="155"/>
      <c r="D3" s="155"/>
      <c r="E3" s="155"/>
      <c r="F3" s="155"/>
      <c r="G3" s="155"/>
      <c r="H3" s="155"/>
      <c r="I3" s="155"/>
      <c r="J3" s="155"/>
      <c r="K3" s="155"/>
      <c r="L3" s="155"/>
    </row>
    <row r="4" spans="1:14" ht="8" customHeight="1" x14ac:dyDescent="0.35"/>
    <row r="5" spans="1:14" ht="22" customHeight="1" x14ac:dyDescent="0.35">
      <c r="B5" s="164" t="s">
        <v>276</v>
      </c>
      <c r="C5" s="155"/>
      <c r="D5" s="155"/>
      <c r="E5" s="155"/>
      <c r="F5" s="155"/>
      <c r="G5" s="155"/>
      <c r="H5" s="155"/>
      <c r="I5" s="155"/>
      <c r="J5" s="155"/>
      <c r="K5" s="155"/>
      <c r="L5" s="155"/>
    </row>
    <row r="6" spans="1:14" ht="35" customHeight="1" x14ac:dyDescent="0.35">
      <c r="B6" s="1" t="s">
        <v>277</v>
      </c>
      <c r="C6" s="1" t="s">
        <v>119</v>
      </c>
      <c r="D6" s="1" t="s">
        <v>278</v>
      </c>
      <c r="E6" s="1" t="s">
        <v>279</v>
      </c>
      <c r="F6" s="1" t="s">
        <v>280</v>
      </c>
      <c r="G6" s="1" t="s">
        <v>281</v>
      </c>
      <c r="H6" s="1" t="s">
        <v>282</v>
      </c>
      <c r="I6" s="1" t="s">
        <v>283</v>
      </c>
      <c r="J6" s="1" t="s">
        <v>284</v>
      </c>
      <c r="K6" s="1" t="s">
        <v>285</v>
      </c>
      <c r="L6" s="1" t="s">
        <v>286</v>
      </c>
      <c r="M6" s="1" t="s">
        <v>287</v>
      </c>
      <c r="N6" s="1" t="s">
        <v>288</v>
      </c>
    </row>
    <row r="7" spans="1:14" ht="18" customHeight="1" x14ac:dyDescent="0.35">
      <c r="B7" s="135" t="s">
        <v>289</v>
      </c>
      <c r="C7" s="55" t="s">
        <v>39</v>
      </c>
      <c r="D7" s="136">
        <v>28</v>
      </c>
      <c r="E7" s="136" t="s">
        <v>290</v>
      </c>
      <c r="F7" s="136" t="s">
        <v>291</v>
      </c>
      <c r="G7" s="136" t="s">
        <v>292</v>
      </c>
      <c r="H7" s="136" t="s">
        <v>293</v>
      </c>
      <c r="I7" s="136">
        <v>2</v>
      </c>
      <c r="J7" s="136" t="s">
        <v>294</v>
      </c>
      <c r="K7" s="136">
        <v>6</v>
      </c>
      <c r="L7" s="56">
        <v>73.41</v>
      </c>
      <c r="M7" s="136">
        <v>84</v>
      </c>
      <c r="N7" s="137">
        <v>0.87392999999999998</v>
      </c>
    </row>
    <row r="8" spans="1:14" ht="18" customHeight="1" x14ac:dyDescent="0.35">
      <c r="B8" s="138" t="s">
        <v>295</v>
      </c>
      <c r="C8" s="67" t="s">
        <v>80</v>
      </c>
      <c r="D8" s="139">
        <v>27</v>
      </c>
      <c r="E8" s="139" t="s">
        <v>290</v>
      </c>
      <c r="F8" s="139" t="s">
        <v>296</v>
      </c>
      <c r="G8" s="139" t="s">
        <v>292</v>
      </c>
      <c r="H8" s="139" t="s">
        <v>297</v>
      </c>
      <c r="I8" s="139">
        <v>0</v>
      </c>
      <c r="J8" s="139" t="s">
        <v>294</v>
      </c>
      <c r="K8" s="139">
        <v>4</v>
      </c>
      <c r="L8" s="68">
        <v>22.61</v>
      </c>
      <c r="M8" s="139">
        <v>84</v>
      </c>
      <c r="N8" s="70">
        <v>0.26921</v>
      </c>
    </row>
    <row r="9" spans="1:14" ht="18" customHeight="1" x14ac:dyDescent="0.35">
      <c r="B9" s="138" t="s">
        <v>298</v>
      </c>
      <c r="C9" s="67" t="s">
        <v>81</v>
      </c>
      <c r="D9" s="139">
        <v>25</v>
      </c>
      <c r="E9" s="139" t="s">
        <v>290</v>
      </c>
      <c r="F9" s="139" t="s">
        <v>299</v>
      </c>
      <c r="G9" s="139" t="s">
        <v>292</v>
      </c>
      <c r="H9" s="139" t="s">
        <v>293</v>
      </c>
      <c r="I9" s="139">
        <v>1</v>
      </c>
      <c r="J9" s="139" t="s">
        <v>294</v>
      </c>
      <c r="K9" s="139">
        <v>1</v>
      </c>
      <c r="L9" s="68">
        <v>1.33</v>
      </c>
      <c r="M9" s="139">
        <v>84</v>
      </c>
      <c r="N9" s="70">
        <v>1.5869999999999999E-2</v>
      </c>
    </row>
    <row r="10" spans="1:14" ht="18" customHeight="1" x14ac:dyDescent="0.35">
      <c r="B10" s="138" t="s">
        <v>300</v>
      </c>
      <c r="C10" s="67" t="s">
        <v>141</v>
      </c>
      <c r="D10" s="139">
        <v>28</v>
      </c>
      <c r="E10" s="139" t="s">
        <v>290</v>
      </c>
      <c r="F10" s="139" t="s">
        <v>299</v>
      </c>
      <c r="G10" s="139" t="s">
        <v>292</v>
      </c>
      <c r="H10" s="139" t="s">
        <v>297</v>
      </c>
      <c r="I10" s="139">
        <v>2</v>
      </c>
      <c r="J10" s="139" t="s">
        <v>294</v>
      </c>
      <c r="K10" s="139">
        <v>4</v>
      </c>
      <c r="L10" s="68">
        <v>3.14</v>
      </c>
      <c r="M10" s="139">
        <v>84</v>
      </c>
      <c r="N10" s="70">
        <v>3.7379999999999997E-2</v>
      </c>
    </row>
    <row r="11" spans="1:14" ht="18" customHeight="1" x14ac:dyDescent="0.35">
      <c r="B11" s="37" t="s">
        <v>301</v>
      </c>
      <c r="C11" s="38" t="s">
        <v>82</v>
      </c>
      <c r="D11" s="140">
        <v>34</v>
      </c>
      <c r="E11" s="140" t="s">
        <v>302</v>
      </c>
      <c r="F11" s="140" t="s">
        <v>299</v>
      </c>
      <c r="G11" s="140" t="s">
        <v>292</v>
      </c>
      <c r="H11" s="140" t="s">
        <v>297</v>
      </c>
      <c r="I11" s="140">
        <v>2</v>
      </c>
      <c r="J11" s="140" t="s">
        <v>294</v>
      </c>
      <c r="K11" s="140">
        <v>2</v>
      </c>
      <c r="L11" s="62">
        <v>50.36</v>
      </c>
      <c r="M11" s="140">
        <v>84</v>
      </c>
      <c r="N11" s="141">
        <v>0.59953000000000001</v>
      </c>
    </row>
    <row r="12" spans="1:14" ht="18" customHeight="1" x14ac:dyDescent="0.35">
      <c r="B12" s="138" t="s">
        <v>303</v>
      </c>
      <c r="C12" s="67" t="s">
        <v>83</v>
      </c>
      <c r="D12" s="139">
        <v>35</v>
      </c>
      <c r="E12" s="139" t="s">
        <v>290</v>
      </c>
      <c r="F12" s="139" t="s">
        <v>299</v>
      </c>
      <c r="G12" s="139" t="s">
        <v>292</v>
      </c>
      <c r="H12" s="139" t="s">
        <v>297</v>
      </c>
      <c r="I12" s="139">
        <v>2</v>
      </c>
      <c r="J12" s="139" t="s">
        <v>294</v>
      </c>
      <c r="K12" s="139">
        <v>3</v>
      </c>
      <c r="L12" s="68">
        <v>20.66</v>
      </c>
      <c r="M12" s="139">
        <v>84</v>
      </c>
      <c r="N12" s="70">
        <v>0.24593000000000001</v>
      </c>
    </row>
    <row r="13" spans="1:14" ht="18" customHeight="1" x14ac:dyDescent="0.35">
      <c r="B13" s="135" t="s">
        <v>304</v>
      </c>
      <c r="C13" s="55" t="s">
        <v>84</v>
      </c>
      <c r="D13" s="136">
        <v>37</v>
      </c>
      <c r="E13" s="136" t="s">
        <v>290</v>
      </c>
      <c r="F13" s="136" t="s">
        <v>299</v>
      </c>
      <c r="G13" s="136" t="s">
        <v>292</v>
      </c>
      <c r="H13" s="136" t="s">
        <v>297</v>
      </c>
      <c r="I13" s="136">
        <v>3</v>
      </c>
      <c r="J13" s="136" t="s">
        <v>294</v>
      </c>
      <c r="K13" s="136">
        <v>4</v>
      </c>
      <c r="L13" s="56">
        <v>64.180000000000007</v>
      </c>
      <c r="M13" s="136">
        <v>84</v>
      </c>
      <c r="N13" s="137">
        <v>0.76405000000000001</v>
      </c>
    </row>
    <row r="14" spans="1:14" ht="18" customHeight="1" x14ac:dyDescent="0.35">
      <c r="B14" s="37" t="s">
        <v>305</v>
      </c>
      <c r="C14" s="38" t="s">
        <v>85</v>
      </c>
      <c r="D14" s="140">
        <v>29</v>
      </c>
      <c r="E14" s="140" t="s">
        <v>290</v>
      </c>
      <c r="F14" s="140" t="s">
        <v>299</v>
      </c>
      <c r="G14" s="140" t="s">
        <v>292</v>
      </c>
      <c r="H14" s="140" t="s">
        <v>297</v>
      </c>
      <c r="I14" s="140">
        <v>2</v>
      </c>
      <c r="J14" s="140" t="s">
        <v>294</v>
      </c>
      <c r="K14" s="140">
        <v>2</v>
      </c>
      <c r="L14" s="62">
        <v>42.57</v>
      </c>
      <c r="M14" s="140">
        <v>84</v>
      </c>
      <c r="N14" s="141">
        <v>0.50680000000000003</v>
      </c>
    </row>
    <row r="15" spans="1:14" ht="18" customHeight="1" x14ac:dyDescent="0.35">
      <c r="B15" s="138" t="s">
        <v>306</v>
      </c>
      <c r="C15" s="67" t="s">
        <v>86</v>
      </c>
      <c r="D15" s="139">
        <v>28</v>
      </c>
      <c r="E15" s="139" t="s">
        <v>290</v>
      </c>
      <c r="F15" s="139" t="s">
        <v>299</v>
      </c>
      <c r="G15" s="139" t="s">
        <v>292</v>
      </c>
      <c r="H15" s="139" t="s">
        <v>297</v>
      </c>
      <c r="I15" s="139">
        <v>1</v>
      </c>
      <c r="J15" s="139" t="s">
        <v>294</v>
      </c>
      <c r="K15" s="139">
        <v>2</v>
      </c>
      <c r="L15" s="68">
        <v>8.8000000000000007</v>
      </c>
      <c r="M15" s="139">
        <v>84</v>
      </c>
      <c r="N15" s="70">
        <v>0.10481</v>
      </c>
    </row>
    <row r="16" spans="1:14" ht="18" customHeight="1" x14ac:dyDescent="0.35">
      <c r="B16" s="138" t="s">
        <v>307</v>
      </c>
      <c r="C16" s="67" t="s">
        <v>87</v>
      </c>
      <c r="D16" s="139">
        <v>27</v>
      </c>
      <c r="E16" s="139" t="s">
        <v>290</v>
      </c>
      <c r="F16" s="139" t="s">
        <v>299</v>
      </c>
      <c r="G16" s="139" t="s">
        <v>292</v>
      </c>
      <c r="H16" s="139" t="s">
        <v>297</v>
      </c>
      <c r="I16" s="139">
        <v>0</v>
      </c>
      <c r="J16" s="139" t="s">
        <v>294</v>
      </c>
      <c r="K16" s="139">
        <v>1</v>
      </c>
      <c r="L16" s="68">
        <v>10.96</v>
      </c>
      <c r="M16" s="139">
        <v>84</v>
      </c>
      <c r="N16" s="70">
        <v>0.13044</v>
      </c>
    </row>
    <row r="17" spans="2:14" ht="18" customHeight="1" x14ac:dyDescent="0.35">
      <c r="B17" s="138" t="s">
        <v>308</v>
      </c>
      <c r="C17" s="67" t="s">
        <v>142</v>
      </c>
      <c r="D17" s="139">
        <v>28</v>
      </c>
      <c r="E17" s="139" t="s">
        <v>290</v>
      </c>
      <c r="F17" s="139" t="s">
        <v>299</v>
      </c>
      <c r="G17" s="139" t="s">
        <v>292</v>
      </c>
      <c r="H17" s="139" t="s">
        <v>297</v>
      </c>
      <c r="I17" s="139">
        <v>1</v>
      </c>
      <c r="J17" s="139" t="s">
        <v>294</v>
      </c>
      <c r="K17" s="139">
        <v>2</v>
      </c>
      <c r="L17" s="68">
        <v>5.92</v>
      </c>
      <c r="M17" s="139">
        <v>84</v>
      </c>
      <c r="N17" s="70">
        <v>7.0510000000000003E-2</v>
      </c>
    </row>
    <row r="18" spans="2:14" ht="18" customHeight="1" x14ac:dyDescent="0.35">
      <c r="B18" s="138" t="s">
        <v>309</v>
      </c>
      <c r="C18" s="67" t="s">
        <v>143</v>
      </c>
      <c r="D18" s="139">
        <v>33</v>
      </c>
      <c r="E18" s="139" t="s">
        <v>290</v>
      </c>
      <c r="F18" s="139" t="s">
        <v>299</v>
      </c>
      <c r="G18" s="139" t="s">
        <v>292</v>
      </c>
      <c r="H18" s="139" t="s">
        <v>297</v>
      </c>
      <c r="I18" s="139">
        <v>1</v>
      </c>
      <c r="J18" s="139" t="s">
        <v>294</v>
      </c>
      <c r="K18" s="139">
        <v>2</v>
      </c>
      <c r="L18" s="68">
        <v>27.04</v>
      </c>
      <c r="M18" s="139">
        <v>84</v>
      </c>
      <c r="N18" s="70">
        <v>0.32194</v>
      </c>
    </row>
    <row r="19" spans="2:14" ht="18" customHeight="1" x14ac:dyDescent="0.35">
      <c r="B19" s="138" t="s">
        <v>310</v>
      </c>
      <c r="C19" s="67" t="s">
        <v>144</v>
      </c>
      <c r="D19" s="139">
        <v>32</v>
      </c>
      <c r="E19" s="139" t="s">
        <v>290</v>
      </c>
      <c r="F19" s="139" t="s">
        <v>299</v>
      </c>
      <c r="G19" s="139" t="s">
        <v>292</v>
      </c>
      <c r="H19" s="139" t="s">
        <v>297</v>
      </c>
      <c r="I19" s="139">
        <v>1</v>
      </c>
      <c r="J19" s="139" t="s">
        <v>294</v>
      </c>
      <c r="K19" s="139">
        <v>1</v>
      </c>
      <c r="L19" s="68">
        <v>8.41</v>
      </c>
      <c r="M19" s="139">
        <v>84</v>
      </c>
      <c r="N19" s="70">
        <v>0.10016</v>
      </c>
    </row>
    <row r="20" spans="2:14" ht="18" customHeight="1" x14ac:dyDescent="0.35">
      <c r="B20" s="138" t="s">
        <v>311</v>
      </c>
      <c r="C20" s="67" t="s">
        <v>145</v>
      </c>
      <c r="D20" s="139">
        <v>36</v>
      </c>
      <c r="E20" s="139" t="s">
        <v>290</v>
      </c>
      <c r="F20" s="139" t="s">
        <v>299</v>
      </c>
      <c r="G20" s="139" t="s">
        <v>292</v>
      </c>
      <c r="H20" s="139" t="s">
        <v>297</v>
      </c>
      <c r="I20" s="139">
        <v>2</v>
      </c>
      <c r="J20" s="139" t="s">
        <v>294</v>
      </c>
      <c r="K20" s="139">
        <v>1</v>
      </c>
      <c r="L20" s="68">
        <v>16.09</v>
      </c>
      <c r="M20" s="139">
        <v>84</v>
      </c>
      <c r="N20" s="70">
        <v>0.19158</v>
      </c>
    </row>
    <row r="21" spans="2:14" ht="18" customHeight="1" x14ac:dyDescent="0.35">
      <c r="B21" s="135" t="s">
        <v>312</v>
      </c>
      <c r="C21" s="55" t="s">
        <v>88</v>
      </c>
      <c r="D21" s="136">
        <v>36</v>
      </c>
      <c r="E21" s="136" t="s">
        <v>290</v>
      </c>
      <c r="F21" s="136" t="s">
        <v>299</v>
      </c>
      <c r="G21" s="136" t="s">
        <v>292</v>
      </c>
      <c r="H21" s="136" t="s">
        <v>297</v>
      </c>
      <c r="I21" s="136">
        <v>3</v>
      </c>
      <c r="J21" s="136" t="s">
        <v>294</v>
      </c>
      <c r="K21" s="136">
        <v>4</v>
      </c>
      <c r="L21" s="56">
        <v>59.04</v>
      </c>
      <c r="M21" s="136">
        <v>84</v>
      </c>
      <c r="N21" s="137">
        <v>0.70286000000000004</v>
      </c>
    </row>
    <row r="22" spans="2:14" ht="18" customHeight="1" x14ac:dyDescent="0.35">
      <c r="B22" s="138" t="s">
        <v>313</v>
      </c>
      <c r="C22" s="67" t="s">
        <v>89</v>
      </c>
      <c r="D22" s="139">
        <v>35</v>
      </c>
      <c r="E22" s="139" t="s">
        <v>290</v>
      </c>
      <c r="F22" s="139" t="s">
        <v>299</v>
      </c>
      <c r="G22" s="139" t="s">
        <v>292</v>
      </c>
      <c r="H22" s="139" t="s">
        <v>297</v>
      </c>
      <c r="I22" s="139">
        <v>1</v>
      </c>
      <c r="J22" s="139" t="s">
        <v>294</v>
      </c>
      <c r="K22" s="139">
        <v>5</v>
      </c>
      <c r="L22" s="68">
        <v>32.47</v>
      </c>
      <c r="M22" s="139">
        <v>84</v>
      </c>
      <c r="N22" s="70">
        <v>0.38650000000000001</v>
      </c>
    </row>
    <row r="23" spans="2:14" ht="18" customHeight="1" x14ac:dyDescent="0.35">
      <c r="B23" s="138" t="s">
        <v>314</v>
      </c>
      <c r="C23" s="67" t="s">
        <v>146</v>
      </c>
      <c r="D23" s="139">
        <v>37</v>
      </c>
      <c r="E23" s="139" t="s">
        <v>290</v>
      </c>
      <c r="F23" s="139" t="s">
        <v>299</v>
      </c>
      <c r="G23" s="139" t="s">
        <v>292</v>
      </c>
      <c r="H23" s="139" t="s">
        <v>297</v>
      </c>
      <c r="I23" s="139">
        <v>2</v>
      </c>
      <c r="J23" s="139" t="s">
        <v>294</v>
      </c>
      <c r="K23" s="139">
        <v>4</v>
      </c>
      <c r="L23" s="68">
        <v>25.22</v>
      </c>
      <c r="M23" s="139">
        <v>84</v>
      </c>
      <c r="N23" s="70">
        <v>0.30024000000000001</v>
      </c>
    </row>
    <row r="24" spans="2:14" ht="18" customHeight="1" x14ac:dyDescent="0.35">
      <c r="B24" s="138" t="s">
        <v>315</v>
      </c>
      <c r="C24" s="67" t="s">
        <v>90</v>
      </c>
      <c r="D24" s="139">
        <v>30</v>
      </c>
      <c r="E24" s="139" t="s">
        <v>290</v>
      </c>
      <c r="F24" s="139" t="s">
        <v>299</v>
      </c>
      <c r="G24" s="139" t="s">
        <v>292</v>
      </c>
      <c r="H24" s="139" t="s">
        <v>297</v>
      </c>
      <c r="I24" s="139">
        <v>1</v>
      </c>
      <c r="J24" s="139" t="s">
        <v>294</v>
      </c>
      <c r="K24" s="139">
        <v>2</v>
      </c>
      <c r="L24" s="68">
        <v>16.3</v>
      </c>
      <c r="M24" s="139">
        <v>84</v>
      </c>
      <c r="N24" s="70">
        <v>0.19405</v>
      </c>
    </row>
    <row r="25" spans="2:14" ht="18" customHeight="1" x14ac:dyDescent="0.35">
      <c r="B25" s="37" t="s">
        <v>316</v>
      </c>
      <c r="C25" s="38" t="s">
        <v>91</v>
      </c>
      <c r="D25" s="140">
        <v>30</v>
      </c>
      <c r="E25" s="140" t="s">
        <v>290</v>
      </c>
      <c r="F25" s="140" t="s">
        <v>299</v>
      </c>
      <c r="G25" s="140" t="s">
        <v>292</v>
      </c>
      <c r="H25" s="140" t="s">
        <v>297</v>
      </c>
      <c r="I25" s="140">
        <v>2</v>
      </c>
      <c r="J25" s="140" t="s">
        <v>294</v>
      </c>
      <c r="K25" s="140">
        <v>2</v>
      </c>
      <c r="L25" s="62">
        <v>53.53</v>
      </c>
      <c r="M25" s="140">
        <v>84</v>
      </c>
      <c r="N25" s="141">
        <v>0.63724000000000003</v>
      </c>
    </row>
    <row r="26" spans="2:14" ht="18" customHeight="1" x14ac:dyDescent="0.35">
      <c r="B26" s="138" t="s">
        <v>317</v>
      </c>
      <c r="C26" s="67" t="s">
        <v>92</v>
      </c>
      <c r="D26" s="139">
        <v>33</v>
      </c>
      <c r="E26" s="139" t="s">
        <v>290</v>
      </c>
      <c r="F26" s="139" t="s">
        <v>299</v>
      </c>
      <c r="G26" s="139" t="s">
        <v>292</v>
      </c>
      <c r="H26" s="139" t="s">
        <v>297</v>
      </c>
      <c r="I26" s="139">
        <v>3</v>
      </c>
      <c r="J26" s="139" t="s">
        <v>294</v>
      </c>
      <c r="K26" s="139">
        <v>4</v>
      </c>
      <c r="L26" s="68">
        <v>25.76</v>
      </c>
      <c r="M26" s="139">
        <v>84</v>
      </c>
      <c r="N26" s="70">
        <v>0.30664999999999998</v>
      </c>
    </row>
    <row r="27" spans="2:14" ht="18" customHeight="1" x14ac:dyDescent="0.35">
      <c r="B27" s="37" t="s">
        <v>318</v>
      </c>
      <c r="C27" s="38" t="s">
        <v>93</v>
      </c>
      <c r="D27" s="140">
        <v>30</v>
      </c>
      <c r="E27" s="140" t="s">
        <v>290</v>
      </c>
      <c r="F27" s="140" t="s">
        <v>299</v>
      </c>
      <c r="G27" s="140" t="s">
        <v>292</v>
      </c>
      <c r="H27" s="140" t="s">
        <v>297</v>
      </c>
      <c r="I27" s="140">
        <v>0</v>
      </c>
      <c r="J27" s="140" t="s">
        <v>294</v>
      </c>
      <c r="K27" s="140">
        <v>3</v>
      </c>
      <c r="L27" s="62">
        <v>53.05</v>
      </c>
      <c r="M27" s="140">
        <v>84</v>
      </c>
      <c r="N27" s="141">
        <v>0.63151000000000002</v>
      </c>
    </row>
    <row r="28" spans="2:14" ht="18" customHeight="1" x14ac:dyDescent="0.35">
      <c r="B28" s="138" t="s">
        <v>319</v>
      </c>
      <c r="C28" s="67" t="s">
        <v>94</v>
      </c>
      <c r="D28" s="139">
        <v>25</v>
      </c>
      <c r="E28" s="139" t="s">
        <v>290</v>
      </c>
      <c r="F28" s="139" t="s">
        <v>299</v>
      </c>
      <c r="G28" s="139" t="s">
        <v>292</v>
      </c>
      <c r="H28" s="139" t="s">
        <v>297</v>
      </c>
      <c r="I28" s="139">
        <v>0</v>
      </c>
      <c r="J28" s="139" t="s">
        <v>294</v>
      </c>
      <c r="K28" s="139">
        <v>1</v>
      </c>
      <c r="L28" s="68">
        <v>6.37</v>
      </c>
      <c r="M28" s="139">
        <v>84</v>
      </c>
      <c r="N28" s="70">
        <v>7.578E-2</v>
      </c>
    </row>
    <row r="29" spans="2:14" ht="18" customHeight="1" x14ac:dyDescent="0.35">
      <c r="B29" s="37" t="s">
        <v>320</v>
      </c>
      <c r="C29" s="38" t="s">
        <v>95</v>
      </c>
      <c r="D29" s="140">
        <v>39</v>
      </c>
      <c r="E29" s="140" t="s">
        <v>290</v>
      </c>
      <c r="F29" s="140" t="s">
        <v>299</v>
      </c>
      <c r="G29" s="140" t="s">
        <v>292</v>
      </c>
      <c r="H29" s="140" t="s">
        <v>297</v>
      </c>
      <c r="I29" s="140">
        <v>1</v>
      </c>
      <c r="J29" s="140" t="s">
        <v>294</v>
      </c>
      <c r="K29" s="140">
        <v>8</v>
      </c>
      <c r="L29" s="62">
        <v>50.57</v>
      </c>
      <c r="M29" s="140">
        <v>84</v>
      </c>
      <c r="N29" s="141">
        <v>0.60206999999999999</v>
      </c>
    </row>
    <row r="30" spans="2:14" ht="18" customHeight="1" x14ac:dyDescent="0.35">
      <c r="B30" s="138" t="s">
        <v>321</v>
      </c>
      <c r="C30" s="67" t="s">
        <v>96</v>
      </c>
      <c r="D30" s="139">
        <v>38</v>
      </c>
      <c r="E30" s="139" t="s">
        <v>290</v>
      </c>
      <c r="F30" s="139" t="s">
        <v>299</v>
      </c>
      <c r="G30" s="139" t="s">
        <v>292</v>
      </c>
      <c r="H30" s="139" t="s">
        <v>297</v>
      </c>
      <c r="I30" s="139">
        <v>2</v>
      </c>
      <c r="J30" s="139" t="s">
        <v>294</v>
      </c>
      <c r="K30" s="139">
        <v>3</v>
      </c>
      <c r="L30" s="68">
        <v>33.409999999999997</v>
      </c>
      <c r="M30" s="139">
        <v>84</v>
      </c>
      <c r="N30" s="70">
        <v>0.39768999999999999</v>
      </c>
    </row>
    <row r="31" spans="2:14" ht="18" customHeight="1" x14ac:dyDescent="0.35">
      <c r="B31" s="37" t="s">
        <v>322</v>
      </c>
      <c r="C31" s="38" t="s">
        <v>97</v>
      </c>
      <c r="D31" s="140">
        <v>25</v>
      </c>
      <c r="E31" s="140" t="s">
        <v>290</v>
      </c>
      <c r="F31" s="140" t="s">
        <v>299</v>
      </c>
      <c r="G31" s="140" t="s">
        <v>292</v>
      </c>
      <c r="H31" s="140" t="s">
        <v>297</v>
      </c>
      <c r="I31" s="140">
        <v>0</v>
      </c>
      <c r="J31" s="140" t="s">
        <v>294</v>
      </c>
      <c r="K31" s="140">
        <v>1</v>
      </c>
      <c r="L31" s="62">
        <v>50.53</v>
      </c>
      <c r="M31" s="140">
        <v>84</v>
      </c>
      <c r="N31" s="141">
        <v>0.60150000000000003</v>
      </c>
    </row>
    <row r="32" spans="2:14" ht="18" customHeight="1" x14ac:dyDescent="0.35">
      <c r="B32" s="138" t="s">
        <v>323</v>
      </c>
      <c r="C32" s="67" t="s">
        <v>98</v>
      </c>
      <c r="D32" s="139">
        <v>34</v>
      </c>
      <c r="E32" s="139" t="s">
        <v>290</v>
      </c>
      <c r="F32" s="139" t="s">
        <v>299</v>
      </c>
      <c r="G32" s="139" t="s">
        <v>292</v>
      </c>
      <c r="H32" s="139" t="s">
        <v>297</v>
      </c>
      <c r="I32" s="139">
        <v>2</v>
      </c>
      <c r="J32" s="139" t="s">
        <v>294</v>
      </c>
      <c r="K32" s="139">
        <v>8</v>
      </c>
      <c r="L32" s="68">
        <v>6.56</v>
      </c>
      <c r="M32" s="139">
        <v>84</v>
      </c>
      <c r="N32" s="70">
        <v>7.8049999999999994E-2</v>
      </c>
    </row>
    <row r="33" spans="2:14" ht="18" customHeight="1" x14ac:dyDescent="0.35">
      <c r="B33" s="37" t="s">
        <v>324</v>
      </c>
      <c r="C33" s="38" t="s">
        <v>99</v>
      </c>
      <c r="D33" s="140">
        <v>31</v>
      </c>
      <c r="E33" s="140" t="s">
        <v>290</v>
      </c>
      <c r="F33" s="140" t="s">
        <v>299</v>
      </c>
      <c r="G33" s="140" t="s">
        <v>292</v>
      </c>
      <c r="H33" s="140" t="s">
        <v>297</v>
      </c>
      <c r="I33" s="140">
        <v>0</v>
      </c>
      <c r="J33" s="140" t="s">
        <v>294</v>
      </c>
      <c r="K33" s="140">
        <v>3</v>
      </c>
      <c r="L33" s="62">
        <v>45.08</v>
      </c>
      <c r="M33" s="140">
        <v>84</v>
      </c>
      <c r="N33" s="141">
        <v>0.53673000000000004</v>
      </c>
    </row>
    <row r="34" spans="2:14" ht="18" customHeight="1" x14ac:dyDescent="0.35">
      <c r="B34" s="138" t="s">
        <v>325</v>
      </c>
      <c r="C34" s="67" t="s">
        <v>100</v>
      </c>
      <c r="D34" s="139">
        <v>35</v>
      </c>
      <c r="E34" s="139" t="s">
        <v>290</v>
      </c>
      <c r="F34" s="139" t="s">
        <v>299</v>
      </c>
      <c r="G34" s="139" t="s">
        <v>292</v>
      </c>
      <c r="H34" s="139" t="s">
        <v>297</v>
      </c>
      <c r="I34" s="139">
        <v>0</v>
      </c>
      <c r="J34" s="139" t="s">
        <v>294</v>
      </c>
      <c r="K34" s="139">
        <v>2</v>
      </c>
      <c r="L34" s="68">
        <v>33.76</v>
      </c>
      <c r="M34" s="139">
        <v>84</v>
      </c>
      <c r="N34" s="70">
        <v>0.40190999999999999</v>
      </c>
    </row>
    <row r="35" spans="2:14" ht="18" customHeight="1" x14ac:dyDescent="0.35">
      <c r="B35" s="138" t="s">
        <v>326</v>
      </c>
      <c r="C35" s="67" t="s">
        <v>101</v>
      </c>
      <c r="D35" s="139">
        <v>35</v>
      </c>
      <c r="E35" s="139" t="s">
        <v>290</v>
      </c>
      <c r="F35" s="139" t="s">
        <v>299</v>
      </c>
      <c r="G35" s="139" t="s">
        <v>292</v>
      </c>
      <c r="H35" s="139" t="s">
        <v>297</v>
      </c>
      <c r="I35" s="139">
        <v>1</v>
      </c>
      <c r="J35" s="139" t="s">
        <v>294</v>
      </c>
      <c r="K35" s="139">
        <v>3</v>
      </c>
      <c r="L35" s="68">
        <v>21.17</v>
      </c>
      <c r="M35" s="139">
        <v>84</v>
      </c>
      <c r="N35" s="70">
        <v>0.25198999999999999</v>
      </c>
    </row>
    <row r="36" spans="2:14" ht="18" customHeight="1" x14ac:dyDescent="0.35">
      <c r="B36" s="135" t="s">
        <v>327</v>
      </c>
      <c r="C36" s="55" t="s">
        <v>102</v>
      </c>
      <c r="D36" s="136">
        <v>29</v>
      </c>
      <c r="E36" s="136" t="s">
        <v>302</v>
      </c>
      <c r="F36" s="136" t="s">
        <v>299</v>
      </c>
      <c r="G36" s="136" t="s">
        <v>292</v>
      </c>
      <c r="H36" s="136" t="s">
        <v>297</v>
      </c>
      <c r="I36" s="136">
        <v>0</v>
      </c>
      <c r="J36" s="136" t="s">
        <v>294</v>
      </c>
      <c r="K36" s="136">
        <v>3</v>
      </c>
      <c r="L36" s="56">
        <v>66.66</v>
      </c>
      <c r="M36" s="136">
        <v>84</v>
      </c>
      <c r="N36" s="137">
        <v>0.79357</v>
      </c>
    </row>
    <row r="37" spans="2:14" ht="18" customHeight="1" x14ac:dyDescent="0.35">
      <c r="B37" s="135" t="s">
        <v>328</v>
      </c>
      <c r="C37" s="55" t="s">
        <v>38</v>
      </c>
      <c r="D37" s="136">
        <v>32</v>
      </c>
      <c r="E37" s="136" t="s">
        <v>290</v>
      </c>
      <c r="F37" s="136" t="s">
        <v>299</v>
      </c>
      <c r="G37" s="136" t="s">
        <v>292</v>
      </c>
      <c r="H37" s="136" t="s">
        <v>297</v>
      </c>
      <c r="I37" s="136">
        <v>1</v>
      </c>
      <c r="J37" s="136" t="s">
        <v>294</v>
      </c>
      <c r="K37" s="136">
        <v>2</v>
      </c>
      <c r="L37" s="56">
        <v>75.41</v>
      </c>
      <c r="M37" s="136">
        <v>84</v>
      </c>
      <c r="N37" s="137">
        <v>0.89773999999999998</v>
      </c>
    </row>
    <row r="38" spans="2:14" ht="18" customHeight="1" x14ac:dyDescent="0.35">
      <c r="B38" s="138" t="s">
        <v>329</v>
      </c>
      <c r="C38" s="67" t="s">
        <v>103</v>
      </c>
      <c r="D38" s="139">
        <v>37</v>
      </c>
      <c r="E38" s="139" t="s">
        <v>290</v>
      </c>
      <c r="F38" s="139" t="s">
        <v>299</v>
      </c>
      <c r="G38" s="139" t="s">
        <v>292</v>
      </c>
      <c r="H38" s="139" t="s">
        <v>297</v>
      </c>
      <c r="I38" s="139">
        <v>2</v>
      </c>
      <c r="J38" s="139" t="s">
        <v>294</v>
      </c>
      <c r="K38" s="139">
        <v>3</v>
      </c>
      <c r="L38" s="68">
        <v>36.24</v>
      </c>
      <c r="M38" s="139">
        <v>84</v>
      </c>
      <c r="N38" s="70">
        <v>0.43145</v>
      </c>
    </row>
    <row r="39" spans="2:14" ht="18" customHeight="1" x14ac:dyDescent="0.35">
      <c r="B39" s="37" t="s">
        <v>330</v>
      </c>
      <c r="C39" s="38" t="s">
        <v>104</v>
      </c>
      <c r="D39" s="140">
        <v>35</v>
      </c>
      <c r="E39" s="140" t="s">
        <v>290</v>
      </c>
      <c r="F39" s="140" t="s">
        <v>299</v>
      </c>
      <c r="G39" s="140" t="s">
        <v>292</v>
      </c>
      <c r="H39" s="140" t="s">
        <v>297</v>
      </c>
      <c r="I39" s="140">
        <v>0</v>
      </c>
      <c r="J39" s="140" t="s">
        <v>294</v>
      </c>
      <c r="K39" s="140">
        <v>6</v>
      </c>
      <c r="L39" s="62">
        <v>48.15</v>
      </c>
      <c r="M39" s="140">
        <v>84</v>
      </c>
      <c r="N39" s="141">
        <v>0.57326999999999995</v>
      </c>
    </row>
    <row r="40" spans="2:14" ht="18" customHeight="1" x14ac:dyDescent="0.35">
      <c r="B40" s="138" t="s">
        <v>331</v>
      </c>
      <c r="C40" s="67" t="s">
        <v>105</v>
      </c>
      <c r="D40" s="139">
        <v>35</v>
      </c>
      <c r="E40" s="139" t="s">
        <v>302</v>
      </c>
      <c r="F40" s="139" t="s">
        <v>299</v>
      </c>
      <c r="G40" s="139" t="s">
        <v>292</v>
      </c>
      <c r="H40" s="139" t="s">
        <v>293</v>
      </c>
      <c r="I40" s="139">
        <v>2</v>
      </c>
      <c r="J40" s="139" t="s">
        <v>294</v>
      </c>
      <c r="K40" s="139">
        <v>1</v>
      </c>
      <c r="L40" s="68">
        <v>41.28</v>
      </c>
      <c r="M40" s="139">
        <v>84</v>
      </c>
      <c r="N40" s="70">
        <v>0.49142000000000002</v>
      </c>
    </row>
    <row r="41" spans="2:14" ht="18" customHeight="1" x14ac:dyDescent="0.35">
      <c r="B41" s="138" t="s">
        <v>332</v>
      </c>
      <c r="C41" s="67" t="s">
        <v>106</v>
      </c>
      <c r="D41" s="139">
        <v>27</v>
      </c>
      <c r="E41" s="139" t="s">
        <v>290</v>
      </c>
      <c r="F41" s="139" t="s">
        <v>299</v>
      </c>
      <c r="G41" s="139" t="s">
        <v>292</v>
      </c>
      <c r="H41" s="139" t="s">
        <v>297</v>
      </c>
      <c r="I41" s="139">
        <v>1</v>
      </c>
      <c r="J41" s="139" t="s">
        <v>294</v>
      </c>
      <c r="K41" s="139">
        <v>1</v>
      </c>
      <c r="L41" s="68">
        <v>6.28</v>
      </c>
      <c r="M41" s="139">
        <v>84</v>
      </c>
      <c r="N41" s="70">
        <v>7.4789999999999995E-2</v>
      </c>
    </row>
    <row r="42" spans="2:14" ht="18" customHeight="1" x14ac:dyDescent="0.35">
      <c r="B42" s="142" t="s">
        <v>333</v>
      </c>
      <c r="C42" s="50" t="s">
        <v>36</v>
      </c>
      <c r="D42" s="143">
        <v>33</v>
      </c>
      <c r="E42" s="143" t="s">
        <v>290</v>
      </c>
      <c r="F42" s="143" t="s">
        <v>299</v>
      </c>
      <c r="G42" s="143" t="s">
        <v>292</v>
      </c>
      <c r="H42" s="143" t="s">
        <v>293</v>
      </c>
      <c r="I42" s="143">
        <v>2</v>
      </c>
      <c r="J42" s="143" t="s">
        <v>294</v>
      </c>
      <c r="K42" s="143">
        <v>8</v>
      </c>
      <c r="L42" s="51">
        <v>82.49</v>
      </c>
      <c r="M42" s="143">
        <v>84</v>
      </c>
      <c r="N42" s="12">
        <v>0.98207999999999995</v>
      </c>
    </row>
    <row r="43" spans="2:14" ht="18" customHeight="1" x14ac:dyDescent="0.35">
      <c r="B43" s="138" t="s">
        <v>334</v>
      </c>
      <c r="C43" s="67" t="s">
        <v>107</v>
      </c>
      <c r="D43" s="139">
        <v>41</v>
      </c>
      <c r="E43" s="139" t="s">
        <v>290</v>
      </c>
      <c r="F43" s="139" t="s">
        <v>299</v>
      </c>
      <c r="G43" s="139" t="s">
        <v>292</v>
      </c>
      <c r="H43" s="139" t="s">
        <v>293</v>
      </c>
      <c r="I43" s="139">
        <v>2</v>
      </c>
      <c r="J43" s="139" t="s">
        <v>294</v>
      </c>
      <c r="K43" s="139">
        <v>8</v>
      </c>
      <c r="L43" s="68">
        <v>41</v>
      </c>
      <c r="M43" s="139">
        <v>84</v>
      </c>
      <c r="N43" s="70">
        <v>0.48809000000000002</v>
      </c>
    </row>
    <row r="44" spans="2:14" ht="18" customHeight="1" x14ac:dyDescent="0.35">
      <c r="B44" s="142" t="s">
        <v>335</v>
      </c>
      <c r="C44" s="50" t="s">
        <v>37</v>
      </c>
      <c r="D44" s="143">
        <v>52</v>
      </c>
      <c r="E44" s="143" t="s">
        <v>302</v>
      </c>
      <c r="F44" s="143" t="s">
        <v>299</v>
      </c>
      <c r="G44" s="143" t="s">
        <v>292</v>
      </c>
      <c r="H44" s="143" t="s">
        <v>293</v>
      </c>
      <c r="I44" s="143">
        <v>3</v>
      </c>
      <c r="J44" s="143" t="s">
        <v>294</v>
      </c>
      <c r="K44" s="143">
        <v>4</v>
      </c>
      <c r="L44" s="51">
        <v>80.75</v>
      </c>
      <c r="M44" s="143">
        <v>84</v>
      </c>
      <c r="N44" s="12">
        <v>0.96131</v>
      </c>
    </row>
    <row r="45" spans="2:14" ht="18" customHeight="1" x14ac:dyDescent="0.35">
      <c r="B45" s="138" t="s">
        <v>336</v>
      </c>
      <c r="C45" s="67" t="s">
        <v>108</v>
      </c>
      <c r="D45" s="139">
        <v>42</v>
      </c>
      <c r="E45" s="139" t="s">
        <v>290</v>
      </c>
      <c r="F45" s="139" t="s">
        <v>299</v>
      </c>
      <c r="G45" s="139" t="s">
        <v>292</v>
      </c>
      <c r="H45" s="139" t="s">
        <v>293</v>
      </c>
      <c r="I45" s="139">
        <v>2</v>
      </c>
      <c r="J45" s="139" t="s">
        <v>294</v>
      </c>
      <c r="K45" s="139">
        <v>4</v>
      </c>
      <c r="L45" s="68">
        <v>14.45</v>
      </c>
      <c r="M45" s="139">
        <v>84</v>
      </c>
      <c r="N45" s="70">
        <v>0.17205000000000001</v>
      </c>
    </row>
    <row r="46" spans="2:14" ht="18" customHeight="1" x14ac:dyDescent="0.35">
      <c r="B46" s="138" t="s">
        <v>337</v>
      </c>
      <c r="C46" s="67" t="s">
        <v>147</v>
      </c>
      <c r="D46" s="139">
        <v>42</v>
      </c>
      <c r="E46" s="139" t="s">
        <v>290</v>
      </c>
      <c r="F46" s="139" t="s">
        <v>299</v>
      </c>
      <c r="G46" s="139" t="s">
        <v>292</v>
      </c>
      <c r="H46" s="139" t="s">
        <v>293</v>
      </c>
      <c r="I46" s="139">
        <v>2</v>
      </c>
      <c r="J46" s="139" t="s">
        <v>294</v>
      </c>
      <c r="K46" s="139">
        <v>6</v>
      </c>
      <c r="L46" s="68">
        <v>5.92</v>
      </c>
      <c r="M46" s="139">
        <v>84</v>
      </c>
      <c r="N46" s="70">
        <v>7.0510000000000003E-2</v>
      </c>
    </row>
    <row r="47" spans="2:14" ht="18" customHeight="1" x14ac:dyDescent="0.35">
      <c r="B47" s="135" t="s">
        <v>338</v>
      </c>
      <c r="C47" s="55" t="s">
        <v>109</v>
      </c>
      <c r="D47" s="136">
        <v>43</v>
      </c>
      <c r="E47" s="136" t="s">
        <v>290</v>
      </c>
      <c r="F47" s="136" t="s">
        <v>299</v>
      </c>
      <c r="G47" s="136" t="s">
        <v>292</v>
      </c>
      <c r="H47" s="136" t="s">
        <v>297</v>
      </c>
      <c r="I47" s="136">
        <v>2</v>
      </c>
      <c r="J47" s="136" t="s">
        <v>294</v>
      </c>
      <c r="K47" s="136">
        <v>6</v>
      </c>
      <c r="L47" s="56">
        <v>67.41</v>
      </c>
      <c r="M47" s="136">
        <v>84</v>
      </c>
      <c r="N47" s="137">
        <v>0.80252000000000001</v>
      </c>
    </row>
    <row r="48" spans="2:14" ht="18" customHeight="1" x14ac:dyDescent="0.35">
      <c r="B48" s="138" t="s">
        <v>339</v>
      </c>
      <c r="C48" s="67" t="s">
        <v>110</v>
      </c>
      <c r="D48" s="139">
        <v>31</v>
      </c>
      <c r="E48" s="139" t="s">
        <v>290</v>
      </c>
      <c r="F48" s="139" t="s">
        <v>299</v>
      </c>
      <c r="G48" s="139" t="s">
        <v>292</v>
      </c>
      <c r="H48" s="139" t="s">
        <v>297</v>
      </c>
      <c r="I48" s="139">
        <v>0</v>
      </c>
      <c r="J48" s="139" t="s">
        <v>294</v>
      </c>
      <c r="K48" s="139">
        <v>2</v>
      </c>
      <c r="L48" s="68">
        <v>6.41</v>
      </c>
      <c r="M48" s="139">
        <v>84</v>
      </c>
      <c r="N48" s="70">
        <v>7.6319999999999999E-2</v>
      </c>
    </row>
    <row r="49" spans="2:14" ht="18" customHeight="1" x14ac:dyDescent="0.35">
      <c r="B49" s="138" t="s">
        <v>340</v>
      </c>
      <c r="C49" s="67" t="s">
        <v>111</v>
      </c>
      <c r="D49" s="139">
        <v>31</v>
      </c>
      <c r="E49" s="139" t="s">
        <v>302</v>
      </c>
      <c r="F49" s="139" t="s">
        <v>299</v>
      </c>
      <c r="G49" s="139" t="s">
        <v>292</v>
      </c>
      <c r="H49" s="139" t="s">
        <v>297</v>
      </c>
      <c r="I49" s="139">
        <v>2</v>
      </c>
      <c r="J49" s="139" t="s">
        <v>294</v>
      </c>
      <c r="K49" s="139">
        <v>2</v>
      </c>
      <c r="L49" s="68">
        <v>15.43</v>
      </c>
      <c r="M49" s="139">
        <v>84</v>
      </c>
      <c r="N49" s="70">
        <v>0.18364</v>
      </c>
    </row>
    <row r="50" spans="2:14" ht="18" customHeight="1" x14ac:dyDescent="0.35">
      <c r="B50" s="138" t="s">
        <v>341</v>
      </c>
      <c r="C50" s="67" t="s">
        <v>112</v>
      </c>
      <c r="D50" s="139">
        <v>27</v>
      </c>
      <c r="E50" s="139" t="s">
        <v>290</v>
      </c>
      <c r="F50" s="139" t="s">
        <v>299</v>
      </c>
      <c r="G50" s="139" t="s">
        <v>292</v>
      </c>
      <c r="H50" s="139" t="s">
        <v>293</v>
      </c>
      <c r="I50" s="139">
        <v>2</v>
      </c>
      <c r="J50" s="139" t="s">
        <v>294</v>
      </c>
      <c r="K50" s="139">
        <v>4</v>
      </c>
      <c r="L50" s="68">
        <v>2.14</v>
      </c>
      <c r="M50" s="139">
        <v>84</v>
      </c>
      <c r="N50" s="70">
        <v>2.5510000000000001E-2</v>
      </c>
    </row>
    <row r="51" spans="2:14" ht="18" customHeight="1" x14ac:dyDescent="0.35">
      <c r="B51" s="138" t="s">
        <v>342</v>
      </c>
      <c r="C51" s="67" t="s">
        <v>113</v>
      </c>
      <c r="D51" s="139">
        <v>33</v>
      </c>
      <c r="E51" s="139" t="s">
        <v>290</v>
      </c>
      <c r="F51" s="139" t="s">
        <v>299</v>
      </c>
      <c r="G51" s="139" t="s">
        <v>292</v>
      </c>
      <c r="H51" s="139" t="s">
        <v>297</v>
      </c>
      <c r="I51" s="139">
        <v>2</v>
      </c>
      <c r="J51" s="139" t="s">
        <v>294</v>
      </c>
      <c r="K51" s="139">
        <v>2</v>
      </c>
      <c r="L51" s="68">
        <v>15.09</v>
      </c>
      <c r="M51" s="139">
        <v>84</v>
      </c>
      <c r="N51" s="70">
        <v>0.17968000000000001</v>
      </c>
    </row>
    <row r="52" spans="2:14" ht="18" customHeight="1" x14ac:dyDescent="0.35">
      <c r="B52" s="135" t="s">
        <v>343</v>
      </c>
      <c r="C52" s="55" t="s">
        <v>40</v>
      </c>
      <c r="D52" s="136">
        <v>38</v>
      </c>
      <c r="E52" s="136" t="s">
        <v>290</v>
      </c>
      <c r="F52" s="136" t="s">
        <v>299</v>
      </c>
      <c r="G52" s="136" t="s">
        <v>292</v>
      </c>
      <c r="H52" s="136" t="s">
        <v>297</v>
      </c>
      <c r="I52" s="136">
        <v>2</v>
      </c>
      <c r="J52" s="136" t="s">
        <v>294</v>
      </c>
      <c r="K52" s="136">
        <v>2</v>
      </c>
      <c r="L52" s="56">
        <v>70.25</v>
      </c>
      <c r="M52" s="136">
        <v>84</v>
      </c>
      <c r="N52" s="137">
        <v>0.83631</v>
      </c>
    </row>
    <row r="53" spans="2:14" ht="18" customHeight="1" x14ac:dyDescent="0.35">
      <c r="B53" s="138" t="s">
        <v>344</v>
      </c>
      <c r="C53" s="67" t="s">
        <v>114</v>
      </c>
      <c r="D53" s="139">
        <v>31</v>
      </c>
      <c r="E53" s="139" t="s">
        <v>290</v>
      </c>
      <c r="F53" s="139" t="s">
        <v>299</v>
      </c>
      <c r="G53" s="139" t="s">
        <v>292</v>
      </c>
      <c r="H53" s="139" t="s">
        <v>297</v>
      </c>
      <c r="I53" s="139">
        <v>0</v>
      </c>
      <c r="J53" s="139" t="s">
        <v>294</v>
      </c>
      <c r="K53" s="139">
        <v>2</v>
      </c>
      <c r="L53" s="68">
        <v>33.76</v>
      </c>
      <c r="M53" s="139">
        <v>84</v>
      </c>
      <c r="N53" s="70">
        <v>0.40194999999999997</v>
      </c>
    </row>
    <row r="54" spans="2:14" ht="18" customHeight="1" x14ac:dyDescent="0.35">
      <c r="B54" s="138" t="s">
        <v>345</v>
      </c>
      <c r="C54" s="67" t="s">
        <v>115</v>
      </c>
      <c r="D54" s="139">
        <v>33</v>
      </c>
      <c r="E54" s="139" t="s">
        <v>290</v>
      </c>
      <c r="F54" s="139" t="s">
        <v>299</v>
      </c>
      <c r="G54" s="139" t="s">
        <v>292</v>
      </c>
      <c r="H54" s="139" t="s">
        <v>297</v>
      </c>
      <c r="I54" s="139">
        <v>2</v>
      </c>
      <c r="J54" s="139" t="s">
        <v>294</v>
      </c>
      <c r="K54" s="139">
        <v>3</v>
      </c>
      <c r="L54" s="68">
        <v>35.369999999999997</v>
      </c>
      <c r="M54" s="139">
        <v>84</v>
      </c>
      <c r="N54" s="70">
        <v>0.42101</v>
      </c>
    </row>
    <row r="55" spans="2:14" ht="18" customHeight="1" x14ac:dyDescent="0.35">
      <c r="B55" s="138" t="s">
        <v>346</v>
      </c>
      <c r="C55" s="67" t="s">
        <v>148</v>
      </c>
      <c r="D55" s="139">
        <v>29</v>
      </c>
      <c r="E55" s="139" t="s">
        <v>290</v>
      </c>
      <c r="F55" s="139" t="s">
        <v>299</v>
      </c>
      <c r="G55" s="139" t="s">
        <v>292</v>
      </c>
      <c r="H55" s="139" t="s">
        <v>297</v>
      </c>
      <c r="I55" s="139">
        <v>0</v>
      </c>
      <c r="J55" s="139" t="s">
        <v>294</v>
      </c>
      <c r="K55" s="139">
        <v>3</v>
      </c>
      <c r="L55" s="68">
        <v>7.3</v>
      </c>
      <c r="M55" s="139">
        <v>84</v>
      </c>
      <c r="N55" s="70">
        <v>8.6849999999999997E-2</v>
      </c>
    </row>
    <row r="57" spans="2:14" ht="22" customHeight="1" x14ac:dyDescent="0.35">
      <c r="B57" s="164" t="s">
        <v>347</v>
      </c>
      <c r="C57" s="155"/>
      <c r="D57" s="155"/>
      <c r="E57" s="155"/>
      <c r="F57" s="155"/>
      <c r="G57" s="155"/>
      <c r="H57" s="155"/>
      <c r="I57" s="155"/>
      <c r="J57" s="155"/>
      <c r="K57" s="155"/>
      <c r="L57" s="155"/>
    </row>
    <row r="58" spans="2:14" x14ac:dyDescent="0.35">
      <c r="B58" s="148" t="s">
        <v>348</v>
      </c>
      <c r="C58" s="196"/>
      <c r="D58" s="149"/>
      <c r="E58" s="1" t="s">
        <v>349</v>
      </c>
      <c r="F58" s="1" t="s">
        <v>350</v>
      </c>
    </row>
    <row r="59" spans="2:14" ht="18" customHeight="1" x14ac:dyDescent="0.35">
      <c r="B59" s="152" t="s">
        <v>351</v>
      </c>
      <c r="C59" s="196"/>
      <c r="D59" s="149"/>
      <c r="E59" s="109">
        <v>49</v>
      </c>
      <c r="F59" s="144" t="s">
        <v>352</v>
      </c>
    </row>
    <row r="60" spans="2:14" ht="18" customHeight="1" x14ac:dyDescent="0.35">
      <c r="B60" s="159" t="s">
        <v>353</v>
      </c>
      <c r="C60" s="196"/>
      <c r="D60" s="149"/>
      <c r="E60" s="145">
        <v>33.1</v>
      </c>
      <c r="F60" s="146" t="s">
        <v>354</v>
      </c>
    </row>
    <row r="61" spans="2:14" ht="18" customHeight="1" x14ac:dyDescent="0.35">
      <c r="B61" s="152" t="s">
        <v>355</v>
      </c>
      <c r="C61" s="196"/>
      <c r="D61" s="149"/>
      <c r="E61" s="147">
        <v>3.3</v>
      </c>
      <c r="F61" s="144" t="s">
        <v>354</v>
      </c>
    </row>
    <row r="62" spans="2:14" ht="18" customHeight="1" x14ac:dyDescent="0.35">
      <c r="B62" s="159" t="s">
        <v>356</v>
      </c>
      <c r="C62" s="196"/>
      <c r="D62" s="149"/>
      <c r="E62" s="112">
        <v>44</v>
      </c>
      <c r="F62" s="146" t="s">
        <v>352</v>
      </c>
    </row>
    <row r="63" spans="2:14" ht="18" customHeight="1" x14ac:dyDescent="0.35">
      <c r="B63" s="152" t="s">
        <v>357</v>
      </c>
      <c r="C63" s="196"/>
      <c r="D63" s="149"/>
      <c r="E63" s="109">
        <v>5</v>
      </c>
      <c r="F63" s="144" t="s">
        <v>352</v>
      </c>
    </row>
    <row r="64" spans="2:14" ht="18" customHeight="1" x14ac:dyDescent="0.35">
      <c r="B64" s="159" t="s">
        <v>358</v>
      </c>
      <c r="C64" s="196"/>
      <c r="D64" s="149"/>
      <c r="E64" s="145">
        <v>1620.09</v>
      </c>
      <c r="F64" s="146" t="s">
        <v>8</v>
      </c>
    </row>
  </sheetData>
  <mergeCells count="11">
    <mergeCell ref="B2:L2"/>
    <mergeCell ref="B58:D58"/>
    <mergeCell ref="B5:L5"/>
    <mergeCell ref="B64:D64"/>
    <mergeCell ref="B62:D62"/>
    <mergeCell ref="B57:L57"/>
    <mergeCell ref="B59:D59"/>
    <mergeCell ref="B60:D60"/>
    <mergeCell ref="B63:D63"/>
    <mergeCell ref="B61:D61"/>
    <mergeCell ref="B3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DASHBOARD</vt:lpstr>
      <vt:lpstr>PRODUCCION MENSUAL</vt:lpstr>
      <vt:lpstr>1ra QUINCENA 15-MAY</vt:lpstr>
      <vt:lpstr>2da QUINCENA 30-MAY</vt:lpstr>
      <vt:lpstr>RANKING PRODUCTIVIDAD</vt:lpstr>
      <vt:lpstr>RETRO - PRODUCTIVIDAD</vt:lpstr>
      <vt:lpstr>COSTOS OPERATIVOS</vt:lpstr>
      <vt:lpstr>BASE TRABAJADORES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enmanuel machado</cp:lastModifiedBy>
  <dcterms:created xsi:type="dcterms:W3CDTF">2026-06-22T16:06:08Z</dcterms:created>
  <dcterms:modified xsi:type="dcterms:W3CDTF">2026-06-22T16:14:27Z</dcterms:modified>
</cp:coreProperties>
</file>