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jas y Reclamos" sheetId="1" state="visible" r:id="rId1"/>
    <sheet xmlns:r="http://schemas.openxmlformats.org/officeDocument/2006/relationships" name="Estado Incapacidades" sheetId="2" state="visible" r:id="rId2"/>
    <sheet xmlns:r="http://schemas.openxmlformats.org/officeDocument/2006/relationships" name="Estado Liquidaciones" sheetId="3" state="visible" r:id="rId3"/>
    <sheet xmlns:r="http://schemas.openxmlformats.org/officeDocument/2006/relationships" name="Ppto. Gestión Laboral" sheetId="4" state="visible" r:id="rId4"/>
    <sheet xmlns:r="http://schemas.openxmlformats.org/officeDocument/2006/relationships" name="Ppto. Gestión Social" sheetId="5" state="visible" r:id="rId5"/>
    <sheet xmlns:r="http://schemas.openxmlformats.org/officeDocument/2006/relationships" name="Procesos Legales" sheetId="6" state="visible" r:id="rId6"/>
    <sheet xmlns:r="http://schemas.openxmlformats.org/officeDocument/2006/relationships" name="Ausentismo (Ene-May)" sheetId="7" state="visible" r:id="rId7"/>
    <sheet xmlns:r="http://schemas.openxmlformats.org/officeDocument/2006/relationships" name="Dominicales" sheetId="8" state="visible" r:id="rId8"/>
    <sheet xmlns:r="http://schemas.openxmlformats.org/officeDocument/2006/relationships" name="Subsidio Alimentación Mayo" sheetId="9" state="visible" r:id="rId9"/>
  </sheets>
  <definedNames/>
  <calcPr calcId="124519" fullCalcOnLoad="1"/>
</workbook>
</file>

<file path=xl/styles.xml><?xml version="1.0" encoding="utf-8"?>
<styleSheet xmlns="http://schemas.openxmlformats.org/spreadsheetml/2006/main">
  <numFmts count="1">
    <numFmt numFmtId="164" formatCode="&quot;$&quot;#,##0"/>
  </numFmts>
  <fonts count="4">
    <font>
      <name val="Calibri"/>
      <family val="2"/>
      <color theme="1"/>
      <sz val="11"/>
      <scheme val="minor"/>
    </font>
    <font>
      <name val="Calibri"/>
      <sz val="11"/>
    </font>
    <font>
      <name val="Calibri"/>
      <b val="1"/>
      <color rgb="00FFFFFF"/>
      <sz val="11"/>
    </font>
    <font>
      <b val="1"/>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1" fillId="0" borderId="1" pivotButton="0" quotePrefix="0" xfId="0"/>
    <xf numFmtId="164" fontId="1" fillId="0" borderId="1" pivotButton="0" quotePrefix="0" xfId="0"/>
    <xf numFmtId="0" fontId="3" fillId="0" borderId="1" pivotButton="0" quotePrefix="0" xfId="0"/>
    <xf numFmtId="164" fontId="3" fillId="0" borderId="1" pivotButton="0" quotePrefix="0" xfId="0"/>
    <xf numFmtId="10" fontId="1" fillId="0" borderId="1" pivotButton="0" quotePrefix="0" xfId="0"/>
    <xf numFmtId="10" fontId="3" fillId="0" borderId="1" pivotButton="0" quotePrefix="0" xfId="0"/>
    <xf numFmtId="0" fontId="3" fillId="2" borderId="1" applyAlignment="1" pivotButton="0" quotePrefix="0" xfId="0">
      <alignment horizontal="center" vertical="center" wrapText="1"/>
    </xf>
    <xf numFmtId="0"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Días de Incapacidad vs Días Cotizados</a:t>
            </a:r>
          </a:p>
        </rich>
      </tx>
    </title>
    <plotArea>
      <barChart>
        <barDir val="col"/>
        <grouping val="clustered"/>
        <ser>
          <idx val="0"/>
          <order val="0"/>
          <tx>
            <strRef>
              <f>'Ausentismo (Ene-May)'!B1</f>
            </strRef>
          </tx>
          <spPr>
            <a:ln xmlns:a="http://schemas.openxmlformats.org/drawingml/2006/main">
              <a:prstDash val="solid"/>
            </a:ln>
          </spPr>
          <cat>
            <numRef>
              <f>'Ausentismo (Ene-May)'!$A$2:$A$6</f>
            </numRef>
          </cat>
          <val>
            <numRef>
              <f>'Ausentismo (Ene-May)'!$B$2:$B$6</f>
            </numRef>
          </val>
        </ser>
        <ser>
          <idx val="1"/>
          <order val="1"/>
          <tx>
            <strRef>
              <f>'Ausentismo (Ene-May)'!C1</f>
            </strRef>
          </tx>
          <spPr>
            <a:ln xmlns:a="http://schemas.openxmlformats.org/drawingml/2006/main">
              <a:prstDash val="solid"/>
            </a:ln>
          </spPr>
          <cat>
            <numRef>
              <f>'Ausentismo (Ene-May)'!$A$2:$A$6</f>
            </numRef>
          </cat>
          <val>
            <numRef>
              <f>'Ausentismo (Ene-May)'!$C$2:$C$6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Días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Análisis de Dominicales: Pagados vs Perdidos</a:t>
            </a:r>
          </a:p>
        </rich>
      </tx>
    </title>
    <plotArea>
      <barChart>
        <barDir val="col"/>
        <grouping val="stacked"/>
        <ser>
          <idx val="0"/>
          <order val="0"/>
          <tx>
            <strRef>
              <f>'Dominicales'!E1</f>
            </strRef>
          </tx>
          <spPr>
            <a:ln xmlns:a="http://schemas.openxmlformats.org/drawingml/2006/main">
              <a:prstDash val="solid"/>
            </a:ln>
          </spPr>
          <cat>
            <numRef>
              <f>'Dominicales'!$A$2:$A$6</f>
            </numRef>
          </cat>
          <val>
            <numRef>
              <f>'Dominicales'!$E$2:$E$6</f>
            </numRef>
          </val>
        </ser>
        <ser>
          <idx val="1"/>
          <order val="1"/>
          <tx>
            <strRef>
              <f>'Dominicales'!F1</f>
            </strRef>
          </tx>
          <spPr>
            <a:ln xmlns:a="http://schemas.openxmlformats.org/drawingml/2006/main">
              <a:prstDash val="solid"/>
            </a:ln>
          </spPr>
          <cat>
            <numRef>
              <f>'Dominicales'!$A$2:$A$6</f>
            </numRef>
          </cat>
          <val>
            <numRef>
              <f>'Dominicales'!$F$2:$F$6</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Mes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Cantidad de Dominicales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5</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4" customWidth="1" min="1" max="1"/>
    <col width="44" customWidth="1" min="2" max="2"/>
    <col width="13" customWidth="1" min="3" max="3"/>
    <col width="50" customWidth="1" min="4" max="4"/>
  </cols>
  <sheetData>
    <row r="1">
      <c r="A1" s="1" t="inlineStr">
        <is>
          <t>ID</t>
        </is>
      </c>
      <c r="B1" s="1" t="inlineStr">
        <is>
          <t>Descripción de Queja/Reclamo</t>
        </is>
      </c>
      <c r="C1" s="1" t="inlineStr">
        <is>
          <t>Estado</t>
        </is>
      </c>
      <c r="D1" s="1" t="inlineStr">
        <is>
          <t>Acción Tomada</t>
        </is>
      </c>
    </row>
    <row r="2">
      <c r="A2" s="2" t="n">
        <v>1</v>
      </c>
      <c r="B2" s="2" t="inlineStr">
        <is>
          <t>Solicitud de colchonetas para el personal</t>
        </is>
      </c>
      <c r="C2" s="2" t="inlineStr">
        <is>
          <t>Solucionado</t>
        </is>
      </c>
      <c r="D2" s="2" t="inlineStr">
        <is>
          <t>Se han entregado 18 colchonetas</t>
        </is>
      </c>
    </row>
    <row r="3">
      <c r="A3" s="2" t="n">
        <v>2</v>
      </c>
      <c r="B3" s="2" t="inlineStr">
        <is>
          <t>Solicitud de bonificación para malacateros</t>
        </is>
      </c>
      <c r="C3" s="2" t="inlineStr">
        <is>
          <t>Solucionado</t>
        </is>
      </c>
      <c r="D3" s="2" t="inlineStr">
        <is>
          <t>Se inició el pago de bonificación mensual a partir de abril</t>
        </is>
      </c>
    </row>
    <row r="4">
      <c r="A4" s="2" t="n">
        <v>3</v>
      </c>
      <c r="B4" s="2" t="inlineStr">
        <is>
          <t>Solicitud menú: Bandeja Paisa los viernes</t>
        </is>
      </c>
      <c r="C4" s="2" t="inlineStr">
        <is>
          <t>Solucionado</t>
        </is>
      </c>
      <c r="D4" s="2" t="inlineStr">
        <is>
          <t>Se volvió a dar la bandeja paisa los días viernes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9" customWidth="1" min="1" max="1"/>
    <col width="18" customWidth="1" min="2" max="2"/>
    <col width="13" customWidth="1" min="3" max="3"/>
    <col width="15" customWidth="1" min="4" max="4"/>
    <col width="13" customWidth="1" min="5" max="5"/>
    <col width="16" customWidth="1" min="6" max="6"/>
    <col width="18" customWidth="1" min="7" max="7"/>
    <col width="11" customWidth="1" min="8" max="8"/>
  </cols>
  <sheetData>
    <row r="1">
      <c r="A1" s="1" t="inlineStr">
        <is>
          <t>Nombre Trabajador</t>
        </is>
      </c>
      <c r="B1" s="1" t="inlineStr">
        <is>
          <t>Tipo Incapacidad</t>
        </is>
      </c>
      <c r="C1" s="1" t="inlineStr">
        <is>
          <t>Diagnóstico</t>
        </is>
      </c>
      <c r="D1" s="1" t="inlineStr">
        <is>
          <t>Fecha Inicial</t>
        </is>
      </c>
      <c r="E1" s="1" t="inlineStr">
        <is>
          <t>Fecha Final</t>
        </is>
      </c>
      <c r="F1" s="1" t="inlineStr">
        <is>
          <t>Días Aprobados</t>
        </is>
      </c>
      <c r="G1" s="1" t="inlineStr">
        <is>
          <t>Valor Autorizado</t>
        </is>
      </c>
      <c r="H1" s="1" t="inlineStr">
        <is>
          <t>Estado</t>
        </is>
      </c>
    </row>
    <row r="2">
      <c r="A2" s="2" t="inlineStr">
        <is>
          <t>MANUEL LAYA</t>
        </is>
      </c>
      <c r="B2" s="2" t="inlineStr">
        <is>
          <t>AT</t>
        </is>
      </c>
      <c r="C2" s="2" t="inlineStr">
        <is>
          <t>S925</t>
        </is>
      </c>
      <c r="D2" s="2" t="inlineStr">
        <is>
          <t>2026-05-01</t>
        </is>
      </c>
      <c r="E2" s="2" t="inlineStr">
        <is>
          <t>2026-05-30</t>
        </is>
      </c>
      <c r="F2" s="2" t="n">
        <v>30</v>
      </c>
      <c r="G2" s="3" t="n">
        <v>1750905</v>
      </c>
      <c r="H2" s="2" t="inlineStr">
        <is>
          <t>CANCELADA</t>
        </is>
      </c>
    </row>
    <row r="3">
      <c r="A3" s="2" t="inlineStr">
        <is>
          <t>JEFERSON GOMEZ</t>
        </is>
      </c>
      <c r="B3" s="2" t="inlineStr">
        <is>
          <t>AT</t>
        </is>
      </c>
      <c r="C3" s="2" t="inlineStr">
        <is>
          <t>S835</t>
        </is>
      </c>
      <c r="D3" s="2" t="inlineStr">
        <is>
          <t>2026-04-16</t>
        </is>
      </c>
      <c r="E3" s="2" t="inlineStr">
        <is>
          <t>2026-05-15</t>
        </is>
      </c>
      <c r="F3" s="2" t="n">
        <v>30</v>
      </c>
      <c r="G3" s="3" t="n">
        <v>1750905</v>
      </c>
      <c r="H3" s="2" t="inlineStr">
        <is>
          <t>CANCELADA</t>
        </is>
      </c>
    </row>
    <row r="4">
      <c r="A4" s="2" t="inlineStr">
        <is>
          <t>JOAQUIN RIVERA</t>
        </is>
      </c>
      <c r="B4" s="2" t="inlineStr">
        <is>
          <t>AT</t>
        </is>
      </c>
      <c r="C4" s="2" t="inlineStr">
        <is>
          <t>S731</t>
        </is>
      </c>
      <c r="D4" s="2" t="inlineStr">
        <is>
          <t>2026-04-24</t>
        </is>
      </c>
      <c r="E4" s="2" t="inlineStr">
        <is>
          <t>2026-05-18</t>
        </is>
      </c>
      <c r="F4" s="2" t="n">
        <v>30</v>
      </c>
      <c r="G4" s="3" t="n">
        <v>1750905</v>
      </c>
      <c r="H4" s="2" t="inlineStr">
        <is>
          <t>CANCELADA</t>
        </is>
      </c>
    </row>
    <row r="5">
      <c r="A5" s="2" t="inlineStr">
        <is>
          <t>JAVIER FONSECA</t>
        </is>
      </c>
      <c r="B5" s="2" t="inlineStr">
        <is>
          <t>AT</t>
        </is>
      </c>
      <c r="C5" s="2" t="inlineStr">
        <is>
          <t>M545</t>
        </is>
      </c>
      <c r="D5" s="2" t="inlineStr">
        <is>
          <t>2026-04-09</t>
        </is>
      </c>
      <c r="E5" s="2" t="inlineStr">
        <is>
          <t>2026-04-30</t>
        </is>
      </c>
      <c r="F5" s="2" t="n">
        <v>21</v>
      </c>
      <c r="G5" s="3" t="n">
        <v>1750905</v>
      </c>
      <c r="H5" s="2" t="inlineStr">
        <is>
          <t>CANCELADA</t>
        </is>
      </c>
    </row>
    <row r="6">
      <c r="A6" s="2" t="inlineStr">
        <is>
          <t>JAVIER FONSECA</t>
        </is>
      </c>
      <c r="B6" s="2" t="inlineStr">
        <is>
          <t>AT</t>
        </is>
      </c>
      <c r="C6" s="2" t="inlineStr">
        <is>
          <t>M545</t>
        </is>
      </c>
      <c r="D6" s="2" t="inlineStr">
        <is>
          <t>2026-05-01</t>
        </is>
      </c>
      <c r="E6" s="2" t="inlineStr">
        <is>
          <t>2026-05-30</t>
        </is>
      </c>
      <c r="F6" s="2" t="n">
        <v>30</v>
      </c>
      <c r="G6" s="3" t="n">
        <v>1750905</v>
      </c>
      <c r="H6" s="2" t="inlineStr">
        <is>
          <t>CANCELADA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cols>
    <col width="40" customWidth="1" min="1" max="1"/>
    <col width="17" customWidth="1" min="2" max="2"/>
    <col width="20" customWidth="1" min="3" max="3"/>
    <col width="12" customWidth="1" min="4" max="4"/>
    <col width="20" customWidth="1" min="5" max="5"/>
    <col width="13" customWidth="1" min="6" max="6"/>
  </cols>
  <sheetData>
    <row r="1">
      <c r="A1" s="1" t="inlineStr">
        <is>
          <t>NOMBRES</t>
        </is>
      </c>
      <c r="B1" s="1" t="inlineStr">
        <is>
          <t>FECHA DE RETIRO</t>
        </is>
      </c>
      <c r="C1" s="1" t="inlineStr">
        <is>
          <t>SUB TOTAL A PAGAR</t>
        </is>
      </c>
      <c r="D1" s="1" t="inlineStr">
        <is>
          <t>ABONOS</t>
        </is>
      </c>
      <c r="E1" s="1" t="inlineStr">
        <is>
          <t>TOTAL A PAGAR</t>
        </is>
      </c>
      <c r="F1" s="1" t="inlineStr">
        <is>
          <t>OBSERVACION</t>
        </is>
      </c>
    </row>
    <row r="2">
      <c r="A2" s="2" t="inlineStr">
        <is>
          <t>ELMER   SISSA SISSA</t>
        </is>
      </c>
      <c r="B2" s="2" t="inlineStr">
        <is>
          <t>2024-06-02</t>
        </is>
      </c>
      <c r="C2" s="3" t="n">
        <v>117565</v>
      </c>
      <c r="D2" s="3" t="n">
        <v/>
      </c>
      <c r="E2" s="3" t="n">
        <v>117565</v>
      </c>
      <c r="F2" s="2" t="n">
        <v/>
      </c>
    </row>
    <row r="3">
      <c r="A3" s="2" t="inlineStr">
        <is>
          <t>JHON ALEJANDRO SAENZ CARDENAS</t>
        </is>
      </c>
      <c r="B3" s="2" t="inlineStr">
        <is>
          <t>2024-06-02</t>
        </is>
      </c>
      <c r="C3" s="3" t="n">
        <v>933289</v>
      </c>
      <c r="D3" s="3" t="n">
        <v/>
      </c>
      <c r="E3" s="3" t="n">
        <v>933289</v>
      </c>
      <c r="F3" s="2" t="n">
        <v/>
      </c>
    </row>
    <row r="4">
      <c r="A4" s="2" t="inlineStr">
        <is>
          <t>LUIS HERNAN BOSSA LAGUILAVO</t>
        </is>
      </c>
      <c r="B4" s="2" t="inlineStr">
        <is>
          <t>2024-06-06</t>
        </is>
      </c>
      <c r="C4" s="3" t="n">
        <v>262818</v>
      </c>
      <c r="D4" s="3" t="n">
        <v/>
      </c>
      <c r="E4" s="3" t="n">
        <v>262818</v>
      </c>
      <c r="F4" s="2" t="n">
        <v/>
      </c>
    </row>
    <row r="5">
      <c r="A5" s="2" t="inlineStr">
        <is>
          <t>JUAN CARLOS MEDINA VALERO</t>
        </is>
      </c>
      <c r="B5" s="2" t="inlineStr">
        <is>
          <t>2024-06-04</t>
        </is>
      </c>
      <c r="C5" s="3" t="n">
        <v>3594632</v>
      </c>
      <c r="D5" s="3" t="n">
        <v>3200000</v>
      </c>
      <c r="E5" s="3" t="n">
        <v>394632</v>
      </c>
      <c r="F5" s="2" t="n">
        <v/>
      </c>
    </row>
    <row r="6">
      <c r="A6" s="2" t="inlineStr">
        <is>
          <t>ISAAC DAVID PEREZ BANDRES</t>
        </is>
      </c>
      <c r="B6" s="2" t="inlineStr">
        <is>
          <t>2024-06-04</t>
        </is>
      </c>
      <c r="C6" s="3" t="n">
        <v>1264868</v>
      </c>
      <c r="D6" s="3" t="n">
        <v>1264868</v>
      </c>
      <c r="E6" s="3" t="n">
        <v>0</v>
      </c>
      <c r="F6" s="2" t="inlineStr">
        <is>
          <t>PAGA</t>
        </is>
      </c>
    </row>
    <row r="7">
      <c r="A7" s="2" t="inlineStr">
        <is>
          <t>HUBER ALEJANDRO RODRIGUEZ SUAZO</t>
        </is>
      </c>
      <c r="B7" s="2" t="inlineStr">
        <is>
          <t>2024-06-04</t>
        </is>
      </c>
      <c r="C7" s="3" t="n">
        <v>564349</v>
      </c>
      <c r="D7" s="3" t="n">
        <v/>
      </c>
      <c r="E7" s="3" t="n">
        <v>564349</v>
      </c>
      <c r="F7" s="2" t="n">
        <v/>
      </c>
    </row>
    <row r="8">
      <c r="A8" s="2" t="inlineStr">
        <is>
          <t>ERIXON ALEXANDER BASTIDAS MORENO</t>
        </is>
      </c>
      <c r="B8" s="2" t="inlineStr">
        <is>
          <t>2024-07-29</t>
        </is>
      </c>
      <c r="C8" s="3" t="n">
        <v>370173</v>
      </c>
      <c r="D8" s="3" t="n">
        <v/>
      </c>
      <c r="E8" s="3" t="n">
        <v>370173</v>
      </c>
      <c r="F8" s="2" t="n">
        <v/>
      </c>
    </row>
    <row r="9">
      <c r="A9" s="2" t="inlineStr">
        <is>
          <t>OSMAN   BENITEZ CRISTIANO</t>
        </is>
      </c>
      <c r="B9" s="2" t="inlineStr">
        <is>
          <t>2024-07-17</t>
        </is>
      </c>
      <c r="C9" s="3" t="n">
        <v>5341019</v>
      </c>
      <c r="D9" s="3" t="n">
        <v/>
      </c>
      <c r="E9" s="3" t="n">
        <v>5341019</v>
      </c>
      <c r="F9" s="2" t="n">
        <v/>
      </c>
    </row>
    <row r="10">
      <c r="A10" s="2" t="inlineStr">
        <is>
          <t>NESTOR EUTIMIO PIRAGAUTA VELANDIA</t>
        </is>
      </c>
      <c r="B10" s="2" t="inlineStr">
        <is>
          <t>2024-07-05</t>
        </is>
      </c>
      <c r="C10" s="3" t="n">
        <v>3051386</v>
      </c>
      <c r="D10" s="3" t="n">
        <v>3051386</v>
      </c>
      <c r="E10" s="3" t="n">
        <v>0</v>
      </c>
      <c r="F10" s="2" t="inlineStr">
        <is>
          <t>PAGA</t>
        </is>
      </c>
    </row>
    <row r="11">
      <c r="A11" s="2" t="inlineStr">
        <is>
          <t>VICTOR ADRIAN ROVIRA COLMENARES</t>
        </is>
      </c>
      <c r="B11" s="2" t="inlineStr">
        <is>
          <t>2024-07-13</t>
        </is>
      </c>
      <c r="C11" s="3" t="n">
        <v>883665</v>
      </c>
      <c r="D11" s="3" t="n">
        <v>500000</v>
      </c>
      <c r="E11" s="3" t="n">
        <v>383665</v>
      </c>
      <c r="F11" s="2" t="n">
        <v/>
      </c>
    </row>
    <row r="12">
      <c r="A12" s="2" t="inlineStr">
        <is>
          <t>EDWIN   AMAYA ARIZA</t>
        </is>
      </c>
      <c r="B12" s="2" t="inlineStr">
        <is>
          <t>2024-07-16</t>
        </is>
      </c>
      <c r="C12" s="3" t="n">
        <v>992748</v>
      </c>
      <c r="D12" s="3" t="n">
        <v/>
      </c>
      <c r="E12" s="3" t="n">
        <v>992748</v>
      </c>
      <c r="F12" s="2" t="n">
        <v/>
      </c>
    </row>
    <row r="13">
      <c r="A13" s="2" t="inlineStr">
        <is>
          <t>ERNESTO MIGUEL PLAZAS SIERRA</t>
        </is>
      </c>
      <c r="B13" s="2" t="inlineStr">
        <is>
          <t>2024-07-13</t>
        </is>
      </c>
      <c r="C13" s="3" t="n">
        <v>208276</v>
      </c>
      <c r="D13" s="3" t="n">
        <v/>
      </c>
      <c r="E13" s="3" t="n">
        <v>208276</v>
      </c>
      <c r="F13" s="2" t="n">
        <v/>
      </c>
    </row>
    <row r="14">
      <c r="A14" s="2" t="inlineStr">
        <is>
          <t>JOSE CRISTOBAL CRUZ CAMACHO</t>
        </is>
      </c>
      <c r="B14" s="2" t="inlineStr">
        <is>
          <t>2024-07-24</t>
        </is>
      </c>
      <c r="C14" s="3" t="n">
        <v>820282</v>
      </c>
      <c r="D14" s="3" t="n">
        <v/>
      </c>
      <c r="E14" s="3" t="n">
        <v>820282</v>
      </c>
      <c r="F14" s="2" t="n">
        <v/>
      </c>
    </row>
    <row r="15">
      <c r="A15" s="2" t="inlineStr">
        <is>
          <t>JOSE ELIAS MONTAÑEZ GONZALEZ</t>
        </is>
      </c>
      <c r="B15" s="2" t="inlineStr">
        <is>
          <t>2024-07-24</t>
        </is>
      </c>
      <c r="C15" s="3" t="n">
        <v>826807</v>
      </c>
      <c r="D15" s="3" t="n">
        <v/>
      </c>
      <c r="E15" s="3" t="n">
        <v>826807</v>
      </c>
      <c r="F15" s="2" t="n">
        <v/>
      </c>
    </row>
    <row r="16">
      <c r="A16" s="2" t="inlineStr">
        <is>
          <t>JOSE EFRAIN AMAYA ARIZA</t>
        </is>
      </c>
      <c r="B16" s="2" t="inlineStr">
        <is>
          <t>2024-07-24</t>
        </is>
      </c>
      <c r="C16" s="3" t="n">
        <v>749212</v>
      </c>
      <c r="D16" s="3" t="n">
        <v/>
      </c>
      <c r="E16" s="3" t="n">
        <v>749212</v>
      </c>
      <c r="F16" s="2" t="n">
        <v/>
      </c>
    </row>
    <row r="17">
      <c r="A17" s="2" t="inlineStr">
        <is>
          <t>WILLIAM ERNESTO ESPINEL GOMEZ</t>
        </is>
      </c>
      <c r="B17" s="2" t="inlineStr">
        <is>
          <t>2024-07-23</t>
        </is>
      </c>
      <c r="C17" s="3" t="n">
        <v>299228</v>
      </c>
      <c r="D17" s="3" t="n">
        <v/>
      </c>
      <c r="E17" s="3" t="n">
        <v>299228</v>
      </c>
      <c r="F17" s="2" t="n">
        <v/>
      </c>
    </row>
    <row r="18">
      <c r="A18" s="2" t="inlineStr">
        <is>
          <t>NINI JOHANA BAEZ RUIZ</t>
        </is>
      </c>
      <c r="B18" s="2" t="inlineStr">
        <is>
          <t>2024-07-23</t>
        </is>
      </c>
      <c r="C18" s="3" t="n">
        <v>326560</v>
      </c>
      <c r="D18" s="3" t="n">
        <v/>
      </c>
      <c r="E18" s="3" t="n">
        <v>326560</v>
      </c>
      <c r="F18" s="2" t="n">
        <v/>
      </c>
    </row>
    <row r="19">
      <c r="A19" s="2" t="inlineStr">
        <is>
          <t>KEVIN OMAR JAIMES MORENO</t>
        </is>
      </c>
      <c r="B19" s="2" t="inlineStr">
        <is>
          <t>2024-07-29</t>
        </is>
      </c>
      <c r="C19" s="3" t="n">
        <v>4909677</v>
      </c>
      <c r="D19" s="3" t="n">
        <v>3500000</v>
      </c>
      <c r="E19" s="3" t="n">
        <v>1409677</v>
      </c>
      <c r="F19" s="2" t="n">
        <v/>
      </c>
    </row>
    <row r="20">
      <c r="A20" s="2" t="inlineStr">
        <is>
          <t>LEYDER NEYID MOSQUERA VOLVERAS</t>
        </is>
      </c>
      <c r="B20" s="2" t="inlineStr">
        <is>
          <t>2024-08-01</t>
        </is>
      </c>
      <c r="C20" s="3" t="n">
        <v>372162</v>
      </c>
      <c r="D20" s="3" t="n">
        <v/>
      </c>
      <c r="E20" s="3" t="n">
        <v>372162</v>
      </c>
      <c r="F20" s="2" t="n">
        <v/>
      </c>
    </row>
    <row r="21">
      <c r="A21" s="2" t="inlineStr">
        <is>
          <t>LIBARDO   CUEVAS CUEVAS</t>
        </is>
      </c>
      <c r="B21" s="2" t="inlineStr">
        <is>
          <t>2024-08-27</t>
        </is>
      </c>
      <c r="C21" s="3" t="n">
        <v>54210</v>
      </c>
      <c r="D21" s="3" t="n">
        <v/>
      </c>
      <c r="E21" s="3" t="n">
        <v>54210</v>
      </c>
      <c r="F21" s="2" t="n">
        <v/>
      </c>
    </row>
    <row r="22">
      <c r="A22" s="2" t="inlineStr">
        <is>
          <t xml:space="preserve">DALADIER   PEREZ  </t>
        </is>
      </c>
      <c r="B22" s="2" t="inlineStr">
        <is>
          <t>2024-08-27</t>
        </is>
      </c>
      <c r="C22" s="3" t="n">
        <v>81348</v>
      </c>
      <c r="D22" s="3" t="n">
        <v/>
      </c>
      <c r="E22" s="3" t="n">
        <v>81348</v>
      </c>
      <c r="F22" s="2" t="n">
        <v/>
      </c>
    </row>
    <row r="23">
      <c r="A23" s="2" t="inlineStr">
        <is>
          <t>CRISTIAN DANIEL GARIZABAL RINCON</t>
        </is>
      </c>
      <c r="B23" s="2" t="inlineStr">
        <is>
          <t>2024-08-27</t>
        </is>
      </c>
      <c r="C23" s="3" t="n">
        <v>1058818</v>
      </c>
      <c r="D23" s="3" t="n">
        <v>564560</v>
      </c>
      <c r="E23" s="3" t="n">
        <v>494258</v>
      </c>
      <c r="F23" s="2" t="n">
        <v/>
      </c>
    </row>
    <row r="24">
      <c r="A24" s="2" t="inlineStr">
        <is>
          <t>JHON ESTIVEN RINCON MARTINEZ</t>
        </is>
      </c>
      <c r="B24" s="2" t="inlineStr">
        <is>
          <t>2024-08-16</t>
        </is>
      </c>
      <c r="C24" s="3" t="n">
        <v>271917</v>
      </c>
      <c r="D24" s="3" t="n">
        <v/>
      </c>
      <c r="E24" s="3" t="n">
        <v>271917</v>
      </c>
      <c r="F24" s="2" t="n">
        <v/>
      </c>
    </row>
    <row r="25">
      <c r="A25" s="2" t="inlineStr">
        <is>
          <t>JERSON LIBARDO BARRERA REINA</t>
        </is>
      </c>
      <c r="B25" s="2" t="inlineStr">
        <is>
          <t>2024-08-15</t>
        </is>
      </c>
      <c r="C25" s="3" t="n">
        <v>81348</v>
      </c>
      <c r="D25" s="3" t="n">
        <v/>
      </c>
      <c r="E25" s="3" t="n">
        <v>81348</v>
      </c>
      <c r="F25" s="2" t="n">
        <v/>
      </c>
    </row>
    <row r="26">
      <c r="A26" s="2" t="inlineStr">
        <is>
          <t>EMILSON DAVID BELTRAN CORTES</t>
        </is>
      </c>
      <c r="B26" s="2" t="inlineStr">
        <is>
          <t>2024-09-07</t>
        </is>
      </c>
      <c r="C26" s="3" t="n">
        <v>81348</v>
      </c>
      <c r="D26" s="3" t="n">
        <v/>
      </c>
      <c r="E26" s="3" t="n">
        <v>81348</v>
      </c>
      <c r="F26" s="2" t="n">
        <v/>
      </c>
    </row>
    <row r="27">
      <c r="A27" s="2" t="inlineStr">
        <is>
          <t>HERNAN DARIO LAGOS CHAPARRO</t>
        </is>
      </c>
      <c r="B27" s="2" t="inlineStr">
        <is>
          <t>2024-09-27</t>
        </is>
      </c>
      <c r="C27" s="3" t="n">
        <v>4562425</v>
      </c>
      <c r="D27" s="3" t="n">
        <v>562425</v>
      </c>
      <c r="E27" s="3" t="n">
        <v>4000000</v>
      </c>
      <c r="F27" s="2" t="n">
        <v/>
      </c>
    </row>
    <row r="28">
      <c r="A28" s="2" t="inlineStr">
        <is>
          <t>KEIMER MAURICIO CONTRERAS VASQUEZ</t>
        </is>
      </c>
      <c r="B28" s="2" t="inlineStr">
        <is>
          <t>2024-09-27</t>
        </is>
      </c>
      <c r="C28" s="3" t="n">
        <v>335676</v>
      </c>
      <c r="D28" s="3" t="n">
        <v/>
      </c>
      <c r="E28" s="3" t="n">
        <v>335676</v>
      </c>
      <c r="F28" s="2" t="n">
        <v/>
      </c>
    </row>
    <row r="29">
      <c r="A29" s="2" t="inlineStr">
        <is>
          <t>EDWIN ALVEIRO CACERES LAGOS</t>
        </is>
      </c>
      <c r="B29" s="2" t="inlineStr">
        <is>
          <t>2024-09-25</t>
        </is>
      </c>
      <c r="C29" s="3" t="n">
        <v>887020</v>
      </c>
      <c r="D29" s="3" t="n">
        <v/>
      </c>
      <c r="E29" s="3" t="n">
        <v>887020</v>
      </c>
      <c r="F29" s="2" t="n">
        <v/>
      </c>
    </row>
    <row r="30">
      <c r="A30" s="2" t="inlineStr">
        <is>
          <t>CRISTHIAN   NARVAEZ ARREDONDO</t>
        </is>
      </c>
      <c r="B30" s="2" t="inlineStr">
        <is>
          <t>2024-09-19</t>
        </is>
      </c>
      <c r="C30" s="3" t="n">
        <v>831496</v>
      </c>
      <c r="D30" s="3" t="n">
        <v/>
      </c>
      <c r="E30" s="3" t="n">
        <v>831496</v>
      </c>
      <c r="F30" s="2" t="n">
        <v/>
      </c>
    </row>
    <row r="31">
      <c r="A31" s="2" t="inlineStr">
        <is>
          <t>ALVARO ADONIS RINCON MARTINEZ</t>
        </is>
      </c>
      <c r="B31" s="2" t="inlineStr">
        <is>
          <t>2024-09-25</t>
        </is>
      </c>
      <c r="C31" s="3" t="n">
        <v>1491533</v>
      </c>
      <c r="D31" s="3" t="n">
        <v>991533</v>
      </c>
      <c r="E31" s="3" t="n">
        <v>500000</v>
      </c>
      <c r="F31" s="2" t="n">
        <v/>
      </c>
    </row>
    <row r="32">
      <c r="A32" s="2" t="inlineStr">
        <is>
          <t>CESAR GABRIEL LOPEZ TOVAR</t>
        </is>
      </c>
      <c r="B32" s="2" t="inlineStr">
        <is>
          <t>2024-09-25</t>
        </is>
      </c>
      <c r="C32" s="3" t="n">
        <v>2632554</v>
      </c>
      <c r="D32" s="3" t="n">
        <v>1000000</v>
      </c>
      <c r="E32" s="3" t="n">
        <v>1632554</v>
      </c>
      <c r="F32" s="2" t="n">
        <v/>
      </c>
    </row>
    <row r="33">
      <c r="A33" s="2" t="inlineStr">
        <is>
          <t>FABIAN DARIO FERRUCHO ALVARADO</t>
        </is>
      </c>
      <c r="B33" s="2" t="inlineStr">
        <is>
          <t>2024-09-19</t>
        </is>
      </c>
      <c r="C33" s="3" t="n">
        <v>90398</v>
      </c>
      <c r="D33" s="3" t="n">
        <v/>
      </c>
      <c r="E33" s="3" t="n">
        <v>90398</v>
      </c>
      <c r="F33" s="2" t="n">
        <v/>
      </c>
    </row>
    <row r="34">
      <c r="A34" s="2" t="inlineStr">
        <is>
          <t>ARMANDO   PEREZ PATIÑO</t>
        </is>
      </c>
      <c r="B34" s="2" t="inlineStr">
        <is>
          <t>2024-09-19</t>
        </is>
      </c>
      <c r="C34" s="3" t="n">
        <v>90398</v>
      </c>
      <c r="D34" s="3" t="n">
        <v/>
      </c>
      <c r="E34" s="3" t="n">
        <v>90398</v>
      </c>
      <c r="F34" s="2" t="n">
        <v/>
      </c>
    </row>
    <row r="35">
      <c r="A35" s="2" t="inlineStr">
        <is>
          <t>DAVID   MARTINEZ ARANZAZO</t>
        </is>
      </c>
      <c r="B35" s="2" t="inlineStr">
        <is>
          <t>2024-10-28</t>
        </is>
      </c>
      <c r="C35" s="3" t="n">
        <v>190114</v>
      </c>
      <c r="D35" s="3" t="n">
        <v/>
      </c>
      <c r="E35" s="3" t="n">
        <v>190114</v>
      </c>
      <c r="F35" s="2" t="n">
        <v/>
      </c>
    </row>
    <row r="36">
      <c r="A36" s="2" t="inlineStr">
        <is>
          <t>EDWIN CARDENAS</t>
        </is>
      </c>
      <c r="B36" s="2" t="inlineStr">
        <is>
          <t>2024-10-15</t>
        </is>
      </c>
      <c r="C36" s="3" t="n">
        <v>135688</v>
      </c>
      <c r="D36" s="3" t="n">
        <v/>
      </c>
      <c r="E36" s="3" t="n">
        <v>135688</v>
      </c>
      <c r="F36" s="2" t="n">
        <v/>
      </c>
    </row>
    <row r="37">
      <c r="A37" s="2" t="inlineStr">
        <is>
          <t>LUIS HERNAN MAGIN HENAO</t>
        </is>
      </c>
      <c r="B37" s="2" t="inlineStr">
        <is>
          <t>2024-10-23</t>
        </is>
      </c>
      <c r="C37" s="3" t="n">
        <v>6690423</v>
      </c>
      <c r="D37" s="3" t="n">
        <v>3000000</v>
      </c>
      <c r="E37" s="3" t="n">
        <v>3690423</v>
      </c>
      <c r="F37" s="2" t="n">
        <v/>
      </c>
    </row>
    <row r="38">
      <c r="A38" s="2" t="inlineStr">
        <is>
          <t>CRISTIAN FERNANDO MENDIVELSO CRISTIANO</t>
        </is>
      </c>
      <c r="B38" s="2" t="inlineStr">
        <is>
          <t>2024-10-15</t>
        </is>
      </c>
      <c r="C38" s="3" t="n">
        <v>135688</v>
      </c>
      <c r="D38" s="3" t="n">
        <v/>
      </c>
      <c r="E38" s="3" t="n">
        <v>135688</v>
      </c>
      <c r="F38" s="2" t="n">
        <v/>
      </c>
    </row>
    <row r="39">
      <c r="A39" s="2" t="inlineStr">
        <is>
          <t>JUAN GABRIEL PARRA PEREZ</t>
        </is>
      </c>
      <c r="B39" s="2" t="inlineStr">
        <is>
          <t>2024-10-01</t>
        </is>
      </c>
      <c r="C39" s="3" t="n">
        <v>956397</v>
      </c>
      <c r="D39" s="3" t="n">
        <v/>
      </c>
      <c r="E39" s="3" t="n">
        <v>956397</v>
      </c>
      <c r="F39" s="2" t="n">
        <v/>
      </c>
    </row>
    <row r="40">
      <c r="A40" s="2" t="inlineStr">
        <is>
          <t>JUAN CARLOS ZABALETA JIMENEZ</t>
        </is>
      </c>
      <c r="B40" s="2" t="inlineStr">
        <is>
          <t>2024-10-23</t>
        </is>
      </c>
      <c r="C40" s="3" t="n">
        <v>144753</v>
      </c>
      <c r="D40" s="3" t="n">
        <v/>
      </c>
      <c r="E40" s="3" t="n">
        <v>144753</v>
      </c>
      <c r="F40" s="2" t="n">
        <v/>
      </c>
    </row>
    <row r="41">
      <c r="A41" s="2" t="inlineStr">
        <is>
          <t>JOSE DANIEL RINCON COSME</t>
        </is>
      </c>
      <c r="B41" s="2" t="inlineStr">
        <is>
          <t>2024-10-23</t>
        </is>
      </c>
      <c r="C41" s="3" t="n">
        <v>144753</v>
      </c>
      <c r="D41" s="3" t="n">
        <v/>
      </c>
      <c r="E41" s="3" t="n">
        <v>144753</v>
      </c>
      <c r="F41" s="2" t="n">
        <v/>
      </c>
    </row>
    <row r="42">
      <c r="A42" s="2" t="inlineStr">
        <is>
          <t>WILMER ALEXANDER ALTUVE MUJICA</t>
        </is>
      </c>
      <c r="B42" s="2" t="inlineStr">
        <is>
          <t>2024-10-16</t>
        </is>
      </c>
      <c r="C42" s="3" t="n">
        <v>758051</v>
      </c>
      <c r="D42" s="3" t="n">
        <v/>
      </c>
      <c r="E42" s="3" t="n">
        <v>758051</v>
      </c>
      <c r="F42" s="2" t="n">
        <v/>
      </c>
    </row>
    <row r="43">
      <c r="A43" s="2" t="inlineStr">
        <is>
          <t>JOSE LEONARDO PATIÑO BELLO</t>
        </is>
      </c>
      <c r="B43" s="2" t="inlineStr">
        <is>
          <t>2024-10-16</t>
        </is>
      </c>
      <c r="C43" s="3" t="n">
        <v>834628</v>
      </c>
      <c r="D43" s="3" t="n">
        <v/>
      </c>
      <c r="E43" s="3" t="n">
        <v>834628</v>
      </c>
      <c r="F43" s="2" t="n">
        <v/>
      </c>
    </row>
    <row r="44">
      <c r="A44" s="2" t="inlineStr">
        <is>
          <t>ROBER DANIEL TORRES GOMEZ</t>
        </is>
      </c>
      <c r="B44" s="2" t="inlineStr">
        <is>
          <t>2024-10-23</t>
        </is>
      </c>
      <c r="C44" s="3" t="n">
        <v>573528</v>
      </c>
      <c r="D44" s="3" t="n">
        <v/>
      </c>
      <c r="E44" s="3" t="n">
        <v>573528</v>
      </c>
      <c r="F44" s="2" t="n">
        <v/>
      </c>
    </row>
    <row r="45">
      <c r="A45" s="2" t="inlineStr">
        <is>
          <t>ADRIAN DAVID JAIMES ROMERO</t>
        </is>
      </c>
      <c r="B45" s="2" t="inlineStr">
        <is>
          <t>2024-10-18</t>
        </is>
      </c>
      <c r="C45" s="3" t="n">
        <v>518494</v>
      </c>
      <c r="D45" s="3" t="n">
        <v/>
      </c>
      <c r="E45" s="3" t="n">
        <v>518494</v>
      </c>
      <c r="F45" s="2" t="n">
        <v/>
      </c>
    </row>
    <row r="46">
      <c r="A46" s="2" t="inlineStr">
        <is>
          <t>EDISON FERNEY BOTERO MEJIA</t>
        </is>
      </c>
      <c r="B46" s="2" t="inlineStr">
        <is>
          <t>2024-10-09</t>
        </is>
      </c>
      <c r="C46" s="3" t="n">
        <v>541779</v>
      </c>
      <c r="D46" s="3" t="n">
        <v/>
      </c>
      <c r="E46" s="3" t="n">
        <v>541779</v>
      </c>
      <c r="F46" s="2" t="n">
        <v/>
      </c>
    </row>
    <row r="47">
      <c r="A47" s="2" t="inlineStr">
        <is>
          <t>IVAN DARIO CACERES SIERRA</t>
        </is>
      </c>
      <c r="B47" s="2" t="inlineStr">
        <is>
          <t>2024-10-31</t>
        </is>
      </c>
      <c r="C47" s="3" t="n">
        <v>144753</v>
      </c>
      <c r="D47" s="3" t="n">
        <v/>
      </c>
      <c r="E47" s="3" t="n">
        <v>144753</v>
      </c>
      <c r="F47" s="2" t="n">
        <v/>
      </c>
    </row>
    <row r="48">
      <c r="A48" s="2" t="inlineStr">
        <is>
          <t>FABIO HERNAN HORMAZA DIAZ</t>
        </is>
      </c>
      <c r="B48" s="2" t="inlineStr">
        <is>
          <t>2024-11-19</t>
        </is>
      </c>
      <c r="C48" s="3" t="n">
        <v>162890</v>
      </c>
      <c r="D48" s="3" t="n">
        <v/>
      </c>
      <c r="E48" s="3" t="n">
        <v>162890</v>
      </c>
      <c r="F48" s="2" t="n">
        <v/>
      </c>
    </row>
    <row r="49">
      <c r="A49" s="2" t="inlineStr">
        <is>
          <t>WILIAN ESTEVAN CUSPOCA MOLINA</t>
        </is>
      </c>
      <c r="B49" s="2" t="inlineStr">
        <is>
          <t>2024-11-23</t>
        </is>
      </c>
      <c r="C49" s="3" t="n">
        <v>162890</v>
      </c>
      <c r="D49" s="3" t="n">
        <v/>
      </c>
      <c r="E49" s="3" t="n">
        <v>162890</v>
      </c>
      <c r="F49" s="2" t="n">
        <v/>
      </c>
    </row>
    <row r="50">
      <c r="A50" s="2" t="inlineStr">
        <is>
          <t>JOSE EFRAIN PATIÑO GUTIERREZ</t>
        </is>
      </c>
      <c r="B50" s="2" t="inlineStr">
        <is>
          <t>2022-03-30</t>
        </is>
      </c>
      <c r="C50" s="3" t="n">
        <v>1500336</v>
      </c>
      <c r="D50" s="3" t="n">
        <v>1500336</v>
      </c>
      <c r="E50" s="3" t="n">
        <v>0</v>
      </c>
      <c r="F50" s="2" t="inlineStr">
        <is>
          <t>PAGA</t>
        </is>
      </c>
    </row>
    <row r="51">
      <c r="A51" s="2" t="inlineStr">
        <is>
          <t>JOSE EFRAIN PATIÑO GUTIERREZ</t>
        </is>
      </c>
      <c r="B51" s="2" t="inlineStr">
        <is>
          <t>2024-11-19</t>
        </is>
      </c>
      <c r="C51" s="3" t="n">
        <v>3898856</v>
      </c>
      <c r="D51" s="3" t="n">
        <v>3898856</v>
      </c>
      <c r="E51" s="3" t="n">
        <v>0</v>
      </c>
      <c r="F51" s="2" t="inlineStr">
        <is>
          <t>PAGA</t>
        </is>
      </c>
    </row>
    <row r="52">
      <c r="A52" s="2" t="inlineStr">
        <is>
          <t>DANIEL ENRIQUE DITTA ROCHA</t>
        </is>
      </c>
      <c r="B52" s="2" t="inlineStr">
        <is>
          <t>2024-11-29</t>
        </is>
      </c>
      <c r="C52" s="3" t="n">
        <v>536829</v>
      </c>
      <c r="D52" s="3" t="n">
        <v/>
      </c>
      <c r="E52" s="3" t="n">
        <v>536829</v>
      </c>
      <c r="F52" s="2" t="n">
        <v/>
      </c>
    </row>
    <row r="53">
      <c r="A53" s="2" t="inlineStr">
        <is>
          <t>JOAQUIN ANDRES RIVERA FIGUEROA</t>
        </is>
      </c>
      <c r="B53" s="2" t="inlineStr">
        <is>
          <t>2024-11-13</t>
        </is>
      </c>
      <c r="C53" s="3" t="n">
        <v>326560</v>
      </c>
      <c r="D53" s="3" t="n">
        <v/>
      </c>
      <c r="E53" s="3" t="n">
        <v>326560</v>
      </c>
      <c r="F53" s="2" t="n">
        <v/>
      </c>
    </row>
    <row r="54">
      <c r="A54" s="2" t="inlineStr">
        <is>
          <t>RAMIRO   VERGARA FLOREZ</t>
        </is>
      </c>
      <c r="B54" s="2" t="inlineStr">
        <is>
          <t>2024-11-01</t>
        </is>
      </c>
      <c r="C54" s="3" t="n">
        <v>81348</v>
      </c>
      <c r="D54" s="3" t="n">
        <v/>
      </c>
      <c r="E54" s="3" t="n">
        <v>81348</v>
      </c>
      <c r="F54" s="2" t="n">
        <v/>
      </c>
    </row>
    <row r="55">
      <c r="A55" s="2" t="inlineStr">
        <is>
          <t>YOSMER GABRIEL CARDENAS BENITEZ</t>
        </is>
      </c>
      <c r="B55" s="2" t="inlineStr">
        <is>
          <t>2024-11-01</t>
        </is>
      </c>
      <c r="C55" s="3" t="n">
        <v>81348</v>
      </c>
      <c r="D55" s="3" t="n">
        <v/>
      </c>
      <c r="E55" s="3" t="n">
        <v>81348</v>
      </c>
      <c r="F55" s="2" t="n">
        <v/>
      </c>
    </row>
    <row r="56">
      <c r="A56" s="2" t="inlineStr">
        <is>
          <t>LEOBALDO   PARADA VARGAS</t>
        </is>
      </c>
      <c r="B56" s="2" t="inlineStr">
        <is>
          <t>2024-11-01</t>
        </is>
      </c>
      <c r="C56" s="3" t="n">
        <v>81348</v>
      </c>
      <c r="D56" s="3" t="n">
        <v/>
      </c>
      <c r="E56" s="3" t="n">
        <v>81348</v>
      </c>
      <c r="F56" s="2" t="n">
        <v/>
      </c>
    </row>
    <row r="57">
      <c r="A57" s="2" t="inlineStr">
        <is>
          <t>ENDER   PALOMINO MARTINEZ</t>
        </is>
      </c>
      <c r="B57" s="2" t="inlineStr">
        <is>
          <t>2024-11-01</t>
        </is>
      </c>
      <c r="C57" s="3" t="n">
        <v>81348</v>
      </c>
      <c r="D57" s="3" t="n">
        <v/>
      </c>
      <c r="E57" s="3" t="n">
        <v>81348</v>
      </c>
      <c r="F57" s="2" t="n">
        <v/>
      </c>
    </row>
    <row r="58">
      <c r="A58" s="2" t="inlineStr">
        <is>
          <t>ANGHELO JOSUE ZAMBRANO SOLANO</t>
        </is>
      </c>
      <c r="B58" s="2" t="inlineStr">
        <is>
          <t>2024-11-07</t>
        </is>
      </c>
      <c r="C58" s="3" t="n">
        <v>27094</v>
      </c>
      <c r="D58" s="3" t="n">
        <v/>
      </c>
      <c r="E58" s="3" t="n">
        <v>27094</v>
      </c>
      <c r="F58" s="2" t="n">
        <v/>
      </c>
    </row>
    <row r="59">
      <c r="A59" s="2" t="inlineStr">
        <is>
          <t>JESUS ALFREDO CRUZ CONTRERAS</t>
        </is>
      </c>
      <c r="B59" s="2" t="inlineStr">
        <is>
          <t>2024-11-07</t>
        </is>
      </c>
      <c r="C59" s="3" t="n">
        <v>27094</v>
      </c>
      <c r="D59" s="3" t="n">
        <v/>
      </c>
      <c r="E59" s="3" t="n">
        <v>27094</v>
      </c>
      <c r="F59" s="2" t="n">
        <v/>
      </c>
    </row>
    <row r="60">
      <c r="A60" s="2" t="inlineStr">
        <is>
          <t>JOHN FREDDY PATIÑO CALDERON</t>
        </is>
      </c>
      <c r="B60" s="2" t="inlineStr">
        <is>
          <t>2024-11-07</t>
        </is>
      </c>
      <c r="C60" s="3" t="n">
        <v>27094</v>
      </c>
      <c r="D60" s="3" t="n">
        <v/>
      </c>
      <c r="E60" s="3" t="n">
        <v>27094</v>
      </c>
      <c r="F60" s="2" t="n">
        <v/>
      </c>
    </row>
    <row r="61">
      <c r="A61" s="2" t="inlineStr">
        <is>
          <t>EDUARD DUVIAN DAVILA BUITRAGO</t>
        </is>
      </c>
      <c r="B61" s="2" t="inlineStr">
        <is>
          <t>2024-12-03</t>
        </is>
      </c>
      <c r="C61" s="3" t="n">
        <v>436107</v>
      </c>
      <c r="D61" s="3" t="n">
        <v/>
      </c>
      <c r="E61" s="3" t="n">
        <v>436107</v>
      </c>
      <c r="F61" s="2" t="n">
        <v/>
      </c>
    </row>
    <row r="62">
      <c r="A62" s="2" t="inlineStr">
        <is>
          <t>JONATHAN RODRIGO MERCHAN MENDIVELSO</t>
        </is>
      </c>
      <c r="B62" s="2" t="inlineStr">
        <is>
          <t>2024-12-09</t>
        </is>
      </c>
      <c r="C62" s="3" t="n">
        <v>6282882</v>
      </c>
      <c r="D62" s="3" t="n">
        <v>6282882</v>
      </c>
      <c r="E62" s="3" t="n">
        <v>0</v>
      </c>
      <c r="F62" s="2" t="inlineStr">
        <is>
          <t>PAGA</t>
        </is>
      </c>
    </row>
    <row r="63">
      <c r="A63" s="2" t="inlineStr">
        <is>
          <t>EDUARD DUVIAN DAVILA BUITRAGO</t>
        </is>
      </c>
      <c r="B63" s="2" t="inlineStr">
        <is>
          <t>2024-11-20</t>
        </is>
      </c>
      <c r="C63" s="3" t="n">
        <v>215000</v>
      </c>
      <c r="D63" s="3" t="n">
        <v/>
      </c>
      <c r="E63" s="3" t="n">
        <v>215000</v>
      </c>
      <c r="F63" s="2" t="n">
        <v/>
      </c>
    </row>
    <row r="64">
      <c r="A64" s="2" t="inlineStr">
        <is>
          <t>JEICOLL ANDRES CENTENO ASCANIO</t>
        </is>
      </c>
      <c r="B64" s="2" t="inlineStr">
        <is>
          <t>2024-12-20</t>
        </is>
      </c>
      <c r="C64" s="3" t="n">
        <v>128764</v>
      </c>
      <c r="D64" s="3" t="n">
        <v/>
      </c>
      <c r="E64" s="3" t="n">
        <v>128764</v>
      </c>
      <c r="F64" s="2" t="n">
        <v/>
      </c>
    </row>
    <row r="65">
      <c r="A65" s="2" t="inlineStr">
        <is>
          <t>JEISSON ALFONSO OLMOS CUELLAR</t>
        </is>
      </c>
      <c r="B65" s="2" t="inlineStr">
        <is>
          <t>2025-01-13</t>
        </is>
      </c>
      <c r="C65" s="3" t="n">
        <v>601167</v>
      </c>
      <c r="D65" s="3" t="n">
        <v/>
      </c>
      <c r="E65" s="3" t="n">
        <v>601167</v>
      </c>
      <c r="F65" s="2" t="n">
        <v/>
      </c>
    </row>
    <row r="66">
      <c r="A66" s="2" t="inlineStr">
        <is>
          <t>LUIS FREDY SIERRA FERNANDEZ</t>
        </is>
      </c>
      <c r="B66" s="2" t="inlineStr">
        <is>
          <t>2025-01-08</t>
        </is>
      </c>
      <c r="C66" s="3" t="n">
        <v>171240</v>
      </c>
      <c r="D66" s="3" t="n">
        <v>171240</v>
      </c>
      <c r="E66" s="3" t="n">
        <v>0</v>
      </c>
      <c r="F66" s="2" t="inlineStr">
        <is>
          <t>PAGA</t>
        </is>
      </c>
    </row>
    <row r="67">
      <c r="A67" s="2" t="inlineStr">
        <is>
          <t>EVARISTO   OLAVE RAMIREZ</t>
        </is>
      </c>
      <c r="B67" s="2" t="inlineStr">
        <is>
          <t>2025-01-28</t>
        </is>
      </c>
      <c r="C67" s="3" t="n">
        <v>96234</v>
      </c>
      <c r="D67" s="3" t="n">
        <v/>
      </c>
      <c r="E67" s="3" t="n">
        <v>96234</v>
      </c>
      <c r="F67" s="2" t="n">
        <v/>
      </c>
    </row>
    <row r="68">
      <c r="A68" s="2" t="inlineStr">
        <is>
          <t xml:space="preserve">JESUS ALBEIRO CARDENAS  </t>
        </is>
      </c>
      <c r="B68" s="2" t="inlineStr">
        <is>
          <t>2025-01-09</t>
        </is>
      </c>
      <c r="C68" s="3" t="n">
        <v>267186</v>
      </c>
      <c r="D68" s="3" t="n">
        <v/>
      </c>
      <c r="E68" s="3" t="n">
        <v>267186</v>
      </c>
      <c r="F68" s="2" t="n">
        <v/>
      </c>
    </row>
    <row r="69">
      <c r="A69" s="2" t="inlineStr">
        <is>
          <t>JORGE ENRIQUE ALONSO ALARCON</t>
        </is>
      </c>
      <c r="B69" s="2" t="inlineStr">
        <is>
          <t>2025-01-08</t>
        </is>
      </c>
      <c r="C69" s="3" t="n">
        <v>655620</v>
      </c>
      <c r="D69" s="3" t="n">
        <v>655620</v>
      </c>
      <c r="E69" s="3" t="n">
        <v>0</v>
      </c>
      <c r="F69" s="2" t="inlineStr">
        <is>
          <t>PAGA</t>
        </is>
      </c>
    </row>
    <row r="70">
      <c r="A70" s="2" t="inlineStr">
        <is>
          <t>KELVIN ENMANUEL DIAZ SANTAELLA</t>
        </is>
      </c>
      <c r="B70" s="2" t="inlineStr">
        <is>
          <t>2025-01-09</t>
        </is>
      </c>
      <c r="C70" s="3" t="n">
        <v>30075</v>
      </c>
      <c r="D70" s="3" t="n">
        <v/>
      </c>
      <c r="E70" s="3" t="n">
        <v>30075</v>
      </c>
      <c r="F70" s="2" t="n">
        <v/>
      </c>
    </row>
    <row r="71">
      <c r="A71" s="2" t="inlineStr">
        <is>
          <t>PABLO ANTONIO CELY CARREÑO</t>
        </is>
      </c>
      <c r="B71" s="2" t="inlineStr">
        <is>
          <t>2025-01-08</t>
        </is>
      </c>
      <c r="C71" s="3" t="n">
        <v>314457</v>
      </c>
      <c r="D71" s="3" t="n">
        <v/>
      </c>
      <c r="E71" s="3" t="n">
        <v>314457</v>
      </c>
      <c r="F71" s="2" t="n">
        <v/>
      </c>
    </row>
    <row r="72">
      <c r="A72" s="2" t="inlineStr">
        <is>
          <t>ALEXIS   TORRES ORELLANOS</t>
        </is>
      </c>
      <c r="B72" s="2" t="inlineStr">
        <is>
          <t>2025-01-27</t>
        </is>
      </c>
      <c r="C72" s="3" t="n">
        <v>401544</v>
      </c>
      <c r="D72" s="3" t="n">
        <v/>
      </c>
      <c r="E72" s="3" t="n">
        <v>401544</v>
      </c>
      <c r="F72" s="2" t="n">
        <v/>
      </c>
    </row>
    <row r="73">
      <c r="A73" s="2" t="inlineStr">
        <is>
          <t>MIGUEL ALONSO CELY CARRENO</t>
        </is>
      </c>
      <c r="B73" s="2" t="inlineStr">
        <is>
          <t>2025-01-08</t>
        </is>
      </c>
      <c r="C73" s="3" t="n">
        <v>284798</v>
      </c>
      <c r="D73" s="3" t="n">
        <v/>
      </c>
      <c r="E73" s="3" t="n">
        <v>284798</v>
      </c>
      <c r="F73" s="2" t="n">
        <v/>
      </c>
    </row>
    <row r="74">
      <c r="A74" s="2" t="inlineStr">
        <is>
          <t>CESAR MOISES ZAMBRANO FARIAS</t>
        </is>
      </c>
      <c r="B74" s="2" t="inlineStr">
        <is>
          <t>2025-02-18</t>
        </is>
      </c>
      <c r="C74" s="3" t="n">
        <v>1870446</v>
      </c>
      <c r="D74" s="3" t="n">
        <v>1000000</v>
      </c>
      <c r="E74" s="3" t="n">
        <v>870446</v>
      </c>
      <c r="F74" s="2" t="n">
        <v/>
      </c>
    </row>
    <row r="75">
      <c r="A75" s="2" t="inlineStr">
        <is>
          <t>ELMER ALFREDO JIMENEZ DIAZ</t>
        </is>
      </c>
      <c r="B75" s="2" t="inlineStr">
        <is>
          <t>2025-02-10</t>
        </is>
      </c>
      <c r="C75" s="3" t="n">
        <v>482682</v>
      </c>
      <c r="D75" s="3" t="n">
        <v/>
      </c>
      <c r="E75" s="3" t="n">
        <v>482682</v>
      </c>
      <c r="F75" s="2" t="n">
        <v/>
      </c>
    </row>
    <row r="76">
      <c r="A76" s="2" t="inlineStr">
        <is>
          <t>RAFAEL ANTONIO GALINDEZ CUBURUCO</t>
        </is>
      </c>
      <c r="B76" s="2" t="inlineStr">
        <is>
          <t>2025-02-10</t>
        </is>
      </c>
      <c r="C76" s="3" t="n">
        <v>1138891</v>
      </c>
      <c r="D76" s="3" t="n">
        <v>1138891</v>
      </c>
      <c r="E76" s="3" t="n">
        <v>0</v>
      </c>
      <c r="F76" s="2" t="inlineStr">
        <is>
          <t>PAGA</t>
        </is>
      </c>
    </row>
    <row r="77">
      <c r="A77" s="2" t="inlineStr">
        <is>
          <t>LUIS ANDRES MOLINA SARMIENTO</t>
        </is>
      </c>
      <c r="B77" s="2" t="inlineStr">
        <is>
          <t>2025-02-25</t>
        </is>
      </c>
      <c r="C77" s="3" t="n">
        <v>1579175</v>
      </c>
      <c r="D77" s="3" t="n">
        <v>1000000</v>
      </c>
      <c r="E77" s="3" t="n">
        <v>579175</v>
      </c>
      <c r="F77" s="2" t="n">
        <v/>
      </c>
    </row>
    <row r="78">
      <c r="A78" s="2" t="inlineStr">
        <is>
          <t>EVERALDO   DAZA TORRES</t>
        </is>
      </c>
      <c r="B78" s="2" t="inlineStr">
        <is>
          <t>2025-02-18</t>
        </is>
      </c>
      <c r="C78" s="3" t="n">
        <v>356501</v>
      </c>
      <c r="D78" s="3" t="n">
        <v>356501</v>
      </c>
      <c r="E78" s="3" t="n">
        <v>0</v>
      </c>
      <c r="F78" s="2" t="inlineStr">
        <is>
          <t>PAGA</t>
        </is>
      </c>
    </row>
    <row r="79">
      <c r="A79" s="2" t="inlineStr">
        <is>
          <t>JEFERSON DANIEL CONTRERAS MEJIA</t>
        </is>
      </c>
      <c r="B79" s="2" t="inlineStr">
        <is>
          <t>2025-02-14</t>
        </is>
      </c>
      <c r="C79" s="3" t="n">
        <v>191593</v>
      </c>
      <c r="D79" s="3" t="n">
        <v/>
      </c>
      <c r="E79" s="3" t="n">
        <v>191593</v>
      </c>
      <c r="F79" s="2" t="n">
        <v/>
      </c>
    </row>
    <row r="80">
      <c r="A80" s="2" t="inlineStr">
        <is>
          <t>JOSE ALBERTH JIMENEZ DIAZ</t>
        </is>
      </c>
      <c r="B80" s="2" t="inlineStr">
        <is>
          <t>2025-02-14</t>
        </is>
      </c>
      <c r="C80" s="3" t="n">
        <v>519544</v>
      </c>
      <c r="D80" s="3" t="n">
        <v>519544</v>
      </c>
      <c r="E80" s="3" t="n">
        <v>0</v>
      </c>
      <c r="F80" s="2" t="inlineStr">
        <is>
          <t>PAGA</t>
        </is>
      </c>
    </row>
    <row r="81">
      <c r="A81" s="2" t="inlineStr">
        <is>
          <t>ROBINSON ARMANDO BONILLA MARTINEZ</t>
        </is>
      </c>
      <c r="B81" s="2" t="inlineStr">
        <is>
          <t>2025-02-25</t>
        </is>
      </c>
      <c r="C81" s="3" t="n">
        <v>344794</v>
      </c>
      <c r="D81" s="3" t="n">
        <v/>
      </c>
      <c r="E81" s="3" t="n">
        <v>344794</v>
      </c>
      <c r="F81" s="2" t="n">
        <v/>
      </c>
    </row>
    <row r="82">
      <c r="A82" s="2" t="inlineStr">
        <is>
          <t>YAIR   AMARIS GUILLEN</t>
        </is>
      </c>
      <c r="B82" s="2" t="inlineStr">
        <is>
          <t>2025-02-10</t>
        </is>
      </c>
      <c r="C82" s="3" t="n">
        <v>235536</v>
      </c>
      <c r="D82" s="3" t="n">
        <v/>
      </c>
      <c r="E82" s="3" t="n">
        <v>235536</v>
      </c>
      <c r="F82" s="2" t="n">
        <v/>
      </c>
    </row>
    <row r="83">
      <c r="A83" s="2" t="inlineStr">
        <is>
          <t>DIDIER   RANGEL GALEANO</t>
        </is>
      </c>
      <c r="B83" s="2" t="inlineStr">
        <is>
          <t>2025-02-10</t>
        </is>
      </c>
      <c r="C83" s="3" t="n">
        <v>235536</v>
      </c>
      <c r="D83" s="3" t="n">
        <v/>
      </c>
      <c r="E83" s="3" t="n">
        <v>235536</v>
      </c>
      <c r="F83" s="2" t="n">
        <v/>
      </c>
    </row>
    <row r="84">
      <c r="A84" s="2" t="inlineStr">
        <is>
          <t>JHON JAIRO BONILLA MARTINEZ</t>
        </is>
      </c>
      <c r="B84" s="2" t="inlineStr">
        <is>
          <t>2025-02-25</t>
        </is>
      </c>
      <c r="C84" s="3" t="n">
        <v>208276</v>
      </c>
      <c r="D84" s="3" t="n">
        <v/>
      </c>
      <c r="E84" s="3" t="n">
        <v>208276</v>
      </c>
      <c r="F84" s="2" t="n">
        <v/>
      </c>
    </row>
    <row r="85">
      <c r="A85" s="2" t="inlineStr">
        <is>
          <t>JHON JAIRO COGUA VARGAS</t>
        </is>
      </c>
      <c r="B85" s="2" t="inlineStr">
        <is>
          <t>2025-02-25</t>
        </is>
      </c>
      <c r="C85" s="3" t="n">
        <v>208276</v>
      </c>
      <c r="D85" s="3" t="n">
        <v/>
      </c>
      <c r="E85" s="3" t="n">
        <v>208276</v>
      </c>
      <c r="F85" s="2" t="n">
        <v/>
      </c>
    </row>
    <row r="86">
      <c r="A86" s="2" t="inlineStr">
        <is>
          <t>DANIEL   RODRIGUEZ AVELLA</t>
        </is>
      </c>
      <c r="B86" s="2" t="inlineStr">
        <is>
          <t>2025-02-25</t>
        </is>
      </c>
      <c r="C86" s="3" t="n">
        <v>208276</v>
      </c>
      <c r="D86" s="3" t="n">
        <v/>
      </c>
      <c r="E86" s="3" t="n">
        <v>208276</v>
      </c>
      <c r="F86" s="2" t="n">
        <v/>
      </c>
    </row>
    <row r="87">
      <c r="A87" s="2" t="inlineStr">
        <is>
          <t>KLEIDELMAR JOHAN VARGAS CHACON</t>
        </is>
      </c>
      <c r="B87" s="2" t="inlineStr">
        <is>
          <t>2025-02-21</t>
        </is>
      </c>
      <c r="C87" s="3" t="n">
        <v>90398</v>
      </c>
      <c r="D87" s="3" t="n">
        <v/>
      </c>
      <c r="E87" s="3" t="n">
        <v>90398</v>
      </c>
      <c r="F87" s="2" t="n">
        <v/>
      </c>
    </row>
    <row r="88">
      <c r="A88" s="2" t="inlineStr">
        <is>
          <t>MANUEL HUMBERTO GUTIERREZ ROJAS</t>
        </is>
      </c>
      <c r="B88" s="2" t="inlineStr">
        <is>
          <t>2025-02-18</t>
        </is>
      </c>
      <c r="C88" s="3" t="n">
        <v>69263</v>
      </c>
      <c r="D88" s="3" t="n">
        <v/>
      </c>
      <c r="E88" s="3" t="n">
        <v>69263</v>
      </c>
      <c r="F88" s="2" t="n">
        <v/>
      </c>
    </row>
    <row r="89">
      <c r="A89" s="2" t="inlineStr">
        <is>
          <t>MARQUEZ CASTRO JESUS ESTEBAN</t>
        </is>
      </c>
      <c r="B89" s="2" t="inlineStr">
        <is>
          <t>2025-02-21</t>
        </is>
      </c>
      <c r="C89" s="3" t="n">
        <v>98986</v>
      </c>
      <c r="D89" s="3" t="n">
        <v/>
      </c>
      <c r="E89" s="3" t="n">
        <v>98986</v>
      </c>
      <c r="F89" s="2" t="n">
        <v/>
      </c>
    </row>
    <row r="90">
      <c r="A90" s="2" t="inlineStr">
        <is>
          <t>JAIME ELIECER OROZCO GOMEZ</t>
        </is>
      </c>
      <c r="B90" s="2" t="inlineStr">
        <is>
          <t>2025-03-30</t>
        </is>
      </c>
      <c r="C90" s="3" t="n">
        <v>1075196</v>
      </c>
      <c r="D90" s="3" t="n">
        <v>575196</v>
      </c>
      <c r="E90" s="3" t="n">
        <v>500000</v>
      </c>
      <c r="F90" s="2" t="n">
        <v/>
      </c>
    </row>
    <row r="91">
      <c r="A91" s="2" t="inlineStr">
        <is>
          <t>JOSE ANTONIO ALFONSO GUTIERREZ</t>
        </is>
      </c>
      <c r="B91" s="2" t="inlineStr">
        <is>
          <t>2025-03-26</t>
        </is>
      </c>
      <c r="C91" s="3" t="n">
        <v>447513</v>
      </c>
      <c r="D91" s="3" t="n">
        <v/>
      </c>
      <c r="E91" s="3" t="n">
        <v>447513</v>
      </c>
      <c r="F91" s="2" t="n">
        <v/>
      </c>
    </row>
    <row r="92">
      <c r="A92" s="2" t="inlineStr">
        <is>
          <t>KENIS MANUEL OROZCO ROBLES</t>
        </is>
      </c>
      <c r="B92" s="2" t="inlineStr">
        <is>
          <t>2025-03-05</t>
        </is>
      </c>
      <c r="C92" s="3" t="n">
        <v>547158</v>
      </c>
      <c r="D92" s="3" t="n">
        <v>547158</v>
      </c>
      <c r="E92" s="3" t="n">
        <v>0</v>
      </c>
      <c r="F92" s="2" t="inlineStr">
        <is>
          <t>PAGA</t>
        </is>
      </c>
    </row>
    <row r="93">
      <c r="A93" s="2" t="inlineStr">
        <is>
          <t>ANDRES FELIPE BOLIVAR BOLIVAR</t>
        </is>
      </c>
      <c r="B93" s="2" t="inlineStr">
        <is>
          <t>2025-03-10</t>
        </is>
      </c>
      <c r="C93" s="3" t="n">
        <v>168433</v>
      </c>
      <c r="D93" s="3" t="n">
        <v/>
      </c>
      <c r="E93" s="3" t="n">
        <v>168433</v>
      </c>
      <c r="F93" s="2" t="n">
        <v/>
      </c>
    </row>
    <row r="94">
      <c r="A94" s="2" t="inlineStr">
        <is>
          <t>CARLOS ANDRES PEREZ SIERRA</t>
        </is>
      </c>
      <c r="B94" s="2" t="inlineStr">
        <is>
          <t>2025-03-30</t>
        </is>
      </c>
      <c r="C94" s="3" t="n">
        <v>500003</v>
      </c>
      <c r="D94" s="3" t="n">
        <v/>
      </c>
      <c r="E94" s="3" t="n">
        <v>500003</v>
      </c>
      <c r="F94" s="2" t="n">
        <v/>
      </c>
    </row>
    <row r="95">
      <c r="A95" s="2" t="inlineStr">
        <is>
          <t>ELKIN RICARDO ALFONSO GUTIERREZ</t>
        </is>
      </c>
      <c r="B95" s="2" t="inlineStr">
        <is>
          <t>2025-03-26</t>
        </is>
      </c>
      <c r="C95" s="3" t="n">
        <v>447513</v>
      </c>
      <c r="D95" s="3" t="n">
        <v/>
      </c>
      <c r="E95" s="3" t="n">
        <v>447513</v>
      </c>
      <c r="F95" s="2" t="n">
        <v/>
      </c>
    </row>
    <row r="96">
      <c r="A96" s="2" t="inlineStr">
        <is>
          <t>LUIS MIGUEL GUTIERREZ RINCON</t>
        </is>
      </c>
      <c r="B96" s="2" t="inlineStr">
        <is>
          <t>2025-03-11</t>
        </is>
      </c>
      <c r="C96" s="3" t="n">
        <v>297749</v>
      </c>
      <c r="D96" s="3" t="n">
        <v/>
      </c>
      <c r="E96" s="3" t="n">
        <v>297749</v>
      </c>
      <c r="F96" s="2" t="n">
        <v/>
      </c>
    </row>
    <row r="97">
      <c r="A97" s="2" t="inlineStr">
        <is>
          <t>JUAN CARLOS MEDINA VALERO</t>
        </is>
      </c>
      <c r="B97" s="2" t="inlineStr">
        <is>
          <t>2025-03-04</t>
        </is>
      </c>
      <c r="C97" s="3" t="n">
        <v>547685</v>
      </c>
      <c r="D97" s="3" t="n">
        <v/>
      </c>
      <c r="E97" s="3" t="n">
        <v>547685</v>
      </c>
      <c r="F97" s="2" t="n">
        <v/>
      </c>
    </row>
    <row r="98">
      <c r="A98" s="2" t="inlineStr">
        <is>
          <t>JESUS ADRIAN GOMEZ BASTOS</t>
        </is>
      </c>
      <c r="B98" s="2" t="inlineStr">
        <is>
          <t>2025-03-18</t>
        </is>
      </c>
      <c r="C98" s="3" t="n">
        <v>688369</v>
      </c>
      <c r="D98" s="3" t="n">
        <v/>
      </c>
      <c r="E98" s="3" t="n">
        <v>688369</v>
      </c>
      <c r="F98" s="2" t="n">
        <v/>
      </c>
    </row>
    <row r="99">
      <c r="A99" s="2" t="inlineStr">
        <is>
          <t>MARLON BRANDON ABRIL RAMIREZ</t>
        </is>
      </c>
      <c r="B99" s="2" t="inlineStr">
        <is>
          <t>2025-03-10</t>
        </is>
      </c>
      <c r="C99" s="3" t="n">
        <v>148578</v>
      </c>
      <c r="D99" s="3" t="n">
        <v/>
      </c>
      <c r="E99" s="3" t="n">
        <v>148578</v>
      </c>
      <c r="F99" s="2" t="n">
        <v/>
      </c>
    </row>
    <row r="100">
      <c r="A100" s="2" t="inlineStr">
        <is>
          <t>EFRAIN  ROJAS PUENTES</t>
        </is>
      </c>
      <c r="B100" s="2" t="inlineStr">
        <is>
          <t>2025-03-18</t>
        </is>
      </c>
      <c r="C100" s="3" t="n">
        <v>19776</v>
      </c>
      <c r="D100" s="3" t="n">
        <v/>
      </c>
      <c r="E100" s="3" t="n">
        <v>19776</v>
      </c>
      <c r="F100" s="2" t="n">
        <v/>
      </c>
    </row>
    <row r="101">
      <c r="A101" s="2" t="inlineStr">
        <is>
          <t>DUBER HERNEY VIVEROS BALANTA</t>
        </is>
      </c>
      <c r="B101" s="2" t="inlineStr">
        <is>
          <t>2025-04-23</t>
        </is>
      </c>
      <c r="C101" s="3" t="n">
        <v>658179</v>
      </c>
      <c r="D101" s="3" t="n">
        <v>658179</v>
      </c>
      <c r="E101" s="3" t="n">
        <v>0</v>
      </c>
      <c r="F101" s="2" t="inlineStr">
        <is>
          <t>PAGA</t>
        </is>
      </c>
    </row>
    <row r="102">
      <c r="A102" s="2" t="inlineStr">
        <is>
          <t>HECTOR LEANDRO PALACIOS OVIEDO</t>
        </is>
      </c>
      <c r="B102" s="2" t="inlineStr">
        <is>
          <t>2025-04-23</t>
        </is>
      </c>
      <c r="C102" s="3" t="n">
        <v>658179</v>
      </c>
      <c r="D102" s="3" t="n">
        <v/>
      </c>
      <c r="E102" s="3" t="n">
        <v>658179</v>
      </c>
      <c r="F102" s="2" t="n">
        <v/>
      </c>
    </row>
    <row r="103">
      <c r="A103" s="2" t="inlineStr">
        <is>
          <t>JEFRY NORBEY IQUIRA ESLAVA</t>
        </is>
      </c>
      <c r="B103" s="2" t="inlineStr">
        <is>
          <t>2025-04-02</t>
        </is>
      </c>
      <c r="C103" s="3" t="n">
        <v>188299</v>
      </c>
      <c r="D103" s="3" t="n">
        <v/>
      </c>
      <c r="E103" s="3" t="n">
        <v>188299</v>
      </c>
      <c r="F103" s="2" t="n">
        <v/>
      </c>
    </row>
    <row r="104">
      <c r="A104" s="2" t="inlineStr">
        <is>
          <t>ANDRES MIGUEL ARAQUE MOYA</t>
        </is>
      </c>
      <c r="B104" s="2" t="inlineStr">
        <is>
          <t>2025-04-02</t>
        </is>
      </c>
      <c r="C104" s="3" t="n">
        <v>188299</v>
      </c>
      <c r="D104" s="3" t="n">
        <v/>
      </c>
      <c r="E104" s="3" t="n">
        <v>188299</v>
      </c>
      <c r="F104" s="2" t="n">
        <v/>
      </c>
    </row>
    <row r="105">
      <c r="A105" s="2" t="inlineStr">
        <is>
          <t>JHOYNERD SMITH MORENO CORZO</t>
        </is>
      </c>
      <c r="B105" s="2" t="inlineStr">
        <is>
          <t>2025-04-29</t>
        </is>
      </c>
      <c r="C105" s="3" t="n">
        <v>9887</v>
      </c>
      <c r="D105" s="3" t="n">
        <v/>
      </c>
      <c r="E105" s="3" t="n">
        <v>9887</v>
      </c>
      <c r="F105" s="2" t="n">
        <v/>
      </c>
    </row>
    <row r="106">
      <c r="A106" s="2" t="inlineStr">
        <is>
          <t>VICTOR JULIO ARCINIEGAS ZARATE</t>
        </is>
      </c>
      <c r="B106" s="2" t="inlineStr">
        <is>
          <t>2025-04-29</t>
        </is>
      </c>
      <c r="C106" s="3" t="n">
        <v>9887</v>
      </c>
      <c r="D106" s="3" t="n">
        <v/>
      </c>
      <c r="E106" s="3" t="n">
        <v>9887</v>
      </c>
      <c r="F106" s="2" t="n">
        <v/>
      </c>
    </row>
    <row r="107">
      <c r="A107" s="2" t="inlineStr">
        <is>
          <t>XAVIER ALEXANDER OVIEDO RAMOS</t>
        </is>
      </c>
      <c r="B107" s="2" t="inlineStr">
        <is>
          <t>2025-04-22</t>
        </is>
      </c>
      <c r="C107" s="3" t="n">
        <v>198236</v>
      </c>
      <c r="D107" s="3" t="n">
        <v/>
      </c>
      <c r="E107" s="3" t="n">
        <v>198236</v>
      </c>
      <c r="F107" s="2" t="n">
        <v/>
      </c>
    </row>
    <row r="108">
      <c r="A108" s="2" t="inlineStr">
        <is>
          <t>JORGE ANDRES CABANA GUTIERREZ</t>
        </is>
      </c>
      <c r="B108" s="2" t="inlineStr">
        <is>
          <t>2025-04-02</t>
        </is>
      </c>
      <c r="C108" s="3" t="n">
        <v>29668</v>
      </c>
      <c r="D108" s="3" t="n">
        <v/>
      </c>
      <c r="E108" s="3" t="n">
        <v>29668</v>
      </c>
      <c r="F108" s="2" t="n">
        <v/>
      </c>
    </row>
    <row r="109">
      <c r="A109" s="2" t="inlineStr">
        <is>
          <t>ROBERT AUGUSTO ORTEGA LOMBANA</t>
        </is>
      </c>
      <c r="B109" s="2" t="inlineStr">
        <is>
          <t>2025-04-24</t>
        </is>
      </c>
      <c r="C109" s="3" t="n">
        <v>577788</v>
      </c>
      <c r="D109" s="3" t="n">
        <v>577788</v>
      </c>
      <c r="E109" s="3" t="n">
        <v>0</v>
      </c>
      <c r="F109" s="2" t="inlineStr">
        <is>
          <t>PAGA</t>
        </is>
      </c>
    </row>
    <row r="110">
      <c r="A110" s="2" t="inlineStr">
        <is>
          <t>JAIR   ORTIZ SANGUINO</t>
        </is>
      </c>
      <c r="B110" s="2" t="inlineStr">
        <is>
          <t>2025-05-14</t>
        </is>
      </c>
      <c r="C110" s="3" t="n">
        <v>1639322</v>
      </c>
      <c r="D110" s="3" t="n">
        <v>639322</v>
      </c>
      <c r="E110" s="3" t="n">
        <v>1000000</v>
      </c>
      <c r="F110" s="2" t="n">
        <v/>
      </c>
    </row>
    <row r="111">
      <c r="A111" s="2" t="inlineStr">
        <is>
          <t>JHON JAIRO MANRIQUE PINILLA</t>
        </is>
      </c>
      <c r="B111" s="2" t="inlineStr">
        <is>
          <t>2025-05-26</t>
        </is>
      </c>
      <c r="C111" s="3" t="n">
        <v>537656</v>
      </c>
      <c r="D111" s="3" t="n">
        <v/>
      </c>
      <c r="E111" s="3" t="n">
        <v>537656</v>
      </c>
      <c r="F111" s="2" t="n">
        <v/>
      </c>
    </row>
    <row r="112">
      <c r="A112" s="2" t="inlineStr">
        <is>
          <t>JOSE LUIS PEREZ RODRIGUEZ</t>
        </is>
      </c>
      <c r="B112" s="2" t="inlineStr">
        <is>
          <t>2025-05-02</t>
        </is>
      </c>
      <c r="C112" s="3" t="n">
        <v>39563</v>
      </c>
      <c r="D112" s="3" t="n">
        <v/>
      </c>
      <c r="E112" s="3" t="n">
        <v>39563</v>
      </c>
      <c r="F112" s="2" t="n">
        <v/>
      </c>
    </row>
    <row r="113">
      <c r="A113" s="2" t="inlineStr">
        <is>
          <t xml:space="preserve">EDINSON  AGUILAR </t>
        </is>
      </c>
      <c r="B113" s="2" t="inlineStr">
        <is>
          <t>2025-05-21</t>
        </is>
      </c>
      <c r="C113" s="3" t="n">
        <v>708509</v>
      </c>
      <c r="D113" s="3" t="n">
        <v/>
      </c>
      <c r="E113" s="3" t="n">
        <v>708509</v>
      </c>
      <c r="F113" s="2" t="n">
        <v/>
      </c>
    </row>
    <row r="114">
      <c r="A114" s="2" t="inlineStr">
        <is>
          <t>HELBERT  GONZALEZ DIAZ</t>
        </is>
      </c>
      <c r="B114" s="2" t="inlineStr">
        <is>
          <t>2025-05-06</t>
        </is>
      </c>
      <c r="C114" s="3" t="n">
        <v>1266488</v>
      </c>
      <c r="D114" s="3" t="n">
        <v>1266488</v>
      </c>
      <c r="E114" s="3" t="n">
        <v>0</v>
      </c>
      <c r="F114" s="2" t="inlineStr">
        <is>
          <t>PAGA</t>
        </is>
      </c>
    </row>
    <row r="115">
      <c r="A115" s="2" t="inlineStr">
        <is>
          <t>HECTOR  RINCON GARCIA</t>
        </is>
      </c>
      <c r="B115" s="2" t="inlineStr">
        <is>
          <t>2025-06-30</t>
        </is>
      </c>
      <c r="C115" s="3" t="n">
        <v>489290</v>
      </c>
      <c r="D115" s="3" t="n">
        <v/>
      </c>
      <c r="E115" s="3" t="n">
        <v>489290</v>
      </c>
      <c r="F115" s="2" t="n">
        <v/>
      </c>
    </row>
    <row r="116">
      <c r="A116" s="2" t="inlineStr">
        <is>
          <t>LUIS FERNANDO MELGAREJO PELAYO</t>
        </is>
      </c>
      <c r="B116" s="2" t="inlineStr">
        <is>
          <t>2025-06-30</t>
        </is>
      </c>
      <c r="C116" s="3" t="n">
        <v>489290</v>
      </c>
      <c r="D116" s="3" t="n">
        <v/>
      </c>
      <c r="E116" s="3" t="n">
        <v>489290</v>
      </c>
      <c r="F116" s="2" t="n">
        <v/>
      </c>
    </row>
    <row r="117">
      <c r="A117" s="2" t="inlineStr">
        <is>
          <t>GERARDO ENRIQUE RICARDO MERCADO</t>
        </is>
      </c>
      <c r="B117" s="2" t="inlineStr">
        <is>
          <t>2025-06-06</t>
        </is>
      </c>
      <c r="C117" s="3" t="n">
        <v>3220218</v>
      </c>
      <c r="D117" s="3" t="n">
        <v>1000000</v>
      </c>
      <c r="E117" s="3" t="n">
        <v>2220218</v>
      </c>
      <c r="F117" s="2" t="n">
        <v/>
      </c>
    </row>
    <row r="118">
      <c r="A118" s="2" t="inlineStr">
        <is>
          <t>CRISTIAN DAVID FLOREZ MARTINEZ</t>
        </is>
      </c>
      <c r="B118" s="2" t="inlineStr">
        <is>
          <t>2025-06-30</t>
        </is>
      </c>
      <c r="C118" s="3" t="n">
        <v>689944</v>
      </c>
      <c r="D118" s="3" t="n">
        <v>689944</v>
      </c>
      <c r="E118" s="3" t="n">
        <v>0</v>
      </c>
      <c r="F118" s="2" t="inlineStr">
        <is>
          <t>PAGA</t>
        </is>
      </c>
    </row>
    <row r="119">
      <c r="A119" s="2" t="inlineStr">
        <is>
          <t>VICTOR MANUEL BARRERA RODRIGUEZ</t>
        </is>
      </c>
      <c r="B119" s="2" t="inlineStr">
        <is>
          <t>2025-06-30</t>
        </is>
      </c>
      <c r="C119" s="3" t="n">
        <v>1265708</v>
      </c>
      <c r="D119" s="3" t="n">
        <v/>
      </c>
      <c r="E119" s="3" t="n">
        <v>1265708</v>
      </c>
      <c r="F119" s="2" t="n">
        <v/>
      </c>
    </row>
    <row r="120">
      <c r="A120" s="2" t="inlineStr">
        <is>
          <t>MARYORI STEFANIA GUTIERREZ BARRERA</t>
        </is>
      </c>
      <c r="B120" s="2" t="inlineStr">
        <is>
          <t>2024-12-30</t>
        </is>
      </c>
      <c r="C120" s="3" t="n">
        <v>666787</v>
      </c>
      <c r="D120" s="3" t="n">
        <v>666787</v>
      </c>
      <c r="E120" s="3" t="n">
        <v>0</v>
      </c>
      <c r="F120" s="2" t="inlineStr">
        <is>
          <t>PAGA</t>
        </is>
      </c>
    </row>
    <row r="121">
      <c r="A121" s="2" t="inlineStr">
        <is>
          <t>MARYORI STEFANIA GUTIERREZ BARRERA</t>
        </is>
      </c>
      <c r="B121" s="2" t="inlineStr">
        <is>
          <t>2025-07-24</t>
        </is>
      </c>
      <c r="C121" s="3" t="n">
        <v>1340119</v>
      </c>
      <c r="D121" s="3" t="n">
        <v/>
      </c>
      <c r="E121" s="3" t="n">
        <v>1340119</v>
      </c>
      <c r="F121" s="2" t="n">
        <v/>
      </c>
    </row>
    <row r="122">
      <c r="A122" s="2" t="inlineStr">
        <is>
          <t>JESUS ANDRES LOPEZ SIERRA</t>
        </is>
      </c>
      <c r="B122" s="2" t="inlineStr">
        <is>
          <t>2025-07-30</t>
        </is>
      </c>
      <c r="C122" s="3" t="n">
        <v>734037</v>
      </c>
      <c r="D122" s="3" t="n">
        <v/>
      </c>
      <c r="E122" s="3" t="n">
        <v>734037</v>
      </c>
      <c r="F122" s="2" t="n">
        <v/>
      </c>
    </row>
    <row r="123">
      <c r="A123" s="2" t="inlineStr">
        <is>
          <t>RODRIGUEZ MORENO CESAR FABIAN</t>
        </is>
      </c>
      <c r="B123" s="2" t="inlineStr">
        <is>
          <t>2025-07-24</t>
        </is>
      </c>
      <c r="C123" s="3" t="n">
        <v>19776</v>
      </c>
      <c r="D123" s="3" t="n">
        <v/>
      </c>
      <c r="E123" s="3" t="n">
        <v>19776</v>
      </c>
      <c r="F123" s="2" t="n">
        <v/>
      </c>
    </row>
    <row r="124">
      <c r="A124" s="2" t="inlineStr">
        <is>
          <t>CUTA CUTA LUIS ALBERTO</t>
        </is>
      </c>
      <c r="B124" s="2" t="inlineStr">
        <is>
          <t>2025-07-25</t>
        </is>
      </c>
      <c r="C124" s="3" t="n">
        <v>108899</v>
      </c>
      <c r="D124" s="3" t="n">
        <v/>
      </c>
      <c r="E124" s="3" t="n">
        <v>108899</v>
      </c>
      <c r="F124" s="2" t="n">
        <v/>
      </c>
    </row>
    <row r="125">
      <c r="A125" s="2" t="inlineStr">
        <is>
          <t>LOPEZ CAMACHO LUIS GABRIEL</t>
        </is>
      </c>
      <c r="B125" s="2" t="inlineStr">
        <is>
          <t>2025-07-25</t>
        </is>
      </c>
      <c r="C125" s="3" t="n">
        <v>108899</v>
      </c>
      <c r="D125" s="3" t="n">
        <v>108899</v>
      </c>
      <c r="E125" s="3" t="n">
        <v>0</v>
      </c>
      <c r="F125" s="2" t="inlineStr">
        <is>
          <t>PAGA</t>
        </is>
      </c>
    </row>
    <row r="126">
      <c r="A126" s="2" t="inlineStr">
        <is>
          <t>JIMENEZ DIAZ JOSE ALBERTH</t>
        </is>
      </c>
      <c r="B126" s="2" t="inlineStr">
        <is>
          <t>2025-07-14</t>
        </is>
      </c>
      <c r="C126" s="3" t="n">
        <v>451119</v>
      </c>
      <c r="D126" s="3" t="n">
        <v/>
      </c>
      <c r="E126" s="3" t="n">
        <v>451119</v>
      </c>
      <c r="F126" s="2" t="n">
        <v/>
      </c>
    </row>
    <row r="127">
      <c r="A127" s="2" t="inlineStr">
        <is>
          <t>DURAN RANGEL ALDAIRO</t>
        </is>
      </c>
      <c r="B127" s="2" t="inlineStr">
        <is>
          <t>2025-07-17</t>
        </is>
      </c>
      <c r="C127" s="3" t="n">
        <v>602425</v>
      </c>
      <c r="D127" s="3" t="n">
        <v/>
      </c>
      <c r="E127" s="3" t="n">
        <v>602425</v>
      </c>
      <c r="F127" s="2" t="n">
        <v/>
      </c>
    </row>
    <row r="128">
      <c r="A128" s="2" t="inlineStr">
        <is>
          <t>RODRIGUEZ CALDERON JESUS EDILSON</t>
        </is>
      </c>
      <c r="B128" s="2" t="inlineStr">
        <is>
          <t>2025-07-24</t>
        </is>
      </c>
      <c r="C128" s="3" t="n">
        <v>935292</v>
      </c>
      <c r="D128" s="3" t="n">
        <v>500000</v>
      </c>
      <c r="E128" s="3" t="n">
        <v>435292</v>
      </c>
      <c r="F128" s="2" t="n">
        <v/>
      </c>
    </row>
    <row r="129">
      <c r="A129" s="2" t="inlineStr">
        <is>
          <t>GALVIS CARDENAS ALEXANDER</t>
        </is>
      </c>
      <c r="B129" s="2" t="inlineStr">
        <is>
          <t>2025-07-23</t>
        </is>
      </c>
      <c r="C129" s="3" t="n">
        <v>158504</v>
      </c>
      <c r="D129" s="3" t="n">
        <v/>
      </c>
      <c r="E129" s="3" t="n">
        <v>158504</v>
      </c>
      <c r="F129" s="2" t="n">
        <v/>
      </c>
    </row>
    <row r="130">
      <c r="A130" s="2" t="inlineStr">
        <is>
          <t>PEREZ GALLO MARCO ANTONIO</t>
        </is>
      </c>
      <c r="B130" s="2" t="inlineStr">
        <is>
          <t>2025-07-19</t>
        </is>
      </c>
      <c r="C130" s="3" t="n">
        <v>49460</v>
      </c>
      <c r="D130" s="3" t="n">
        <v/>
      </c>
      <c r="E130" s="3" t="n">
        <v>49460</v>
      </c>
      <c r="F130" s="2" t="n">
        <v/>
      </c>
    </row>
    <row r="131">
      <c r="A131" s="2" t="inlineStr">
        <is>
          <t>KEVIN OMAR JAIMES MORENO</t>
        </is>
      </c>
      <c r="B131" s="2" t="inlineStr">
        <is>
          <t>2025-07-22</t>
        </is>
      </c>
      <c r="C131" s="3" t="n">
        <v>1317450</v>
      </c>
      <c r="D131" s="3" t="n">
        <v/>
      </c>
      <c r="E131" s="3" t="n">
        <v>1317450</v>
      </c>
      <c r="F131" s="2" t="n">
        <v/>
      </c>
    </row>
    <row r="132">
      <c r="A132" s="2" t="inlineStr">
        <is>
          <t>ANDRADE VEGA YEINER FERNANDO</t>
        </is>
      </c>
      <c r="B132" s="2" t="inlineStr">
        <is>
          <t>2025-07-30</t>
        </is>
      </c>
      <c r="C132" s="3" t="n">
        <v>612533</v>
      </c>
      <c r="D132" s="3" t="n">
        <v/>
      </c>
      <c r="E132" s="3" t="n">
        <v>612533</v>
      </c>
      <c r="F132" s="2" t="n">
        <v/>
      </c>
    </row>
    <row r="133">
      <c r="A133" s="2" t="inlineStr">
        <is>
          <t>ZAMBRANO HERRERA JOSE DEL CARMEN</t>
        </is>
      </c>
      <c r="B133" s="2" t="inlineStr">
        <is>
          <t>2025-07-14</t>
        </is>
      </c>
      <c r="C133" s="3" t="n">
        <v>769644</v>
      </c>
      <c r="D133" s="3" t="n">
        <v>500000</v>
      </c>
      <c r="E133" s="3" t="n">
        <v>269644</v>
      </c>
      <c r="F133" s="2" t="n">
        <v/>
      </c>
    </row>
    <row r="134">
      <c r="A134" s="2" t="inlineStr">
        <is>
          <t>USECHE SAAVEDRA FABER JOBANY</t>
        </is>
      </c>
      <c r="B134" s="2" t="inlineStr">
        <is>
          <t>2025-07-19</t>
        </is>
      </c>
      <c r="C134" s="3" t="n">
        <v>666151</v>
      </c>
      <c r="D134" s="3" t="n">
        <v>666151</v>
      </c>
      <c r="E134" s="3" t="n">
        <v>0</v>
      </c>
      <c r="F134" s="2" t="inlineStr">
        <is>
          <t>PAGA</t>
        </is>
      </c>
    </row>
    <row r="135">
      <c r="A135" s="2" t="inlineStr">
        <is>
          <t>ESPEJO MURCIA LUIS HUMBERTO</t>
        </is>
      </c>
      <c r="B135" s="2" t="inlineStr">
        <is>
          <t>2025-07-17</t>
        </is>
      </c>
      <c r="C135" s="3" t="n">
        <v>388959</v>
      </c>
      <c r="D135" s="3" t="n">
        <v/>
      </c>
      <c r="E135" s="3" t="n">
        <v>388959</v>
      </c>
      <c r="F135" s="2" t="n">
        <v/>
      </c>
    </row>
    <row r="136">
      <c r="A136" s="2" t="inlineStr">
        <is>
          <t>SERRANO PABON ANIBAL</t>
        </is>
      </c>
      <c r="B136" s="2" t="inlineStr">
        <is>
          <t>2025-07-24</t>
        </is>
      </c>
      <c r="C136" s="3" t="n">
        <v>825664</v>
      </c>
      <c r="D136" s="3" t="n">
        <v/>
      </c>
      <c r="E136" s="3" t="n">
        <v>825664</v>
      </c>
      <c r="F136" s="2" t="n">
        <v/>
      </c>
    </row>
    <row r="137">
      <c r="A137" s="2" t="inlineStr">
        <is>
          <t>ARIAS ROJAS HECTOR ALEJANDRO</t>
        </is>
      </c>
      <c r="B137" s="2" t="inlineStr">
        <is>
          <t>2025-07-11</t>
        </is>
      </c>
      <c r="C137" s="3" t="n">
        <v>739067</v>
      </c>
      <c r="D137" s="3" t="n">
        <v>739067</v>
      </c>
      <c r="E137" s="3" t="n">
        <v>0</v>
      </c>
      <c r="F137" s="2" t="inlineStr">
        <is>
          <t>PAGA</t>
        </is>
      </c>
    </row>
    <row r="138">
      <c r="A138" s="2" t="inlineStr">
        <is>
          <t>GOMEZ LINARES CARLOS JULIO</t>
        </is>
      </c>
      <c r="B138" s="2" t="inlineStr">
        <is>
          <t>2025-07-29</t>
        </is>
      </c>
      <c r="C138" s="3" t="n">
        <v>1245232</v>
      </c>
      <c r="D138" s="3" t="n">
        <v>700000</v>
      </c>
      <c r="E138" s="3" t="n">
        <v>545232</v>
      </c>
      <c r="F138" s="2" t="n">
        <v/>
      </c>
    </row>
    <row r="139">
      <c r="A139" s="2" t="inlineStr">
        <is>
          <t>DIOMEDEZ PABON</t>
        </is>
      </c>
      <c r="B139" s="2" t="inlineStr">
        <is>
          <t>2025-08-05</t>
        </is>
      </c>
      <c r="C139" s="3" t="n">
        <v>208175</v>
      </c>
      <c r="D139" s="3" t="n">
        <v/>
      </c>
      <c r="E139" s="3" t="n">
        <v>208175</v>
      </c>
      <c r="F139" s="2" t="n">
        <v/>
      </c>
    </row>
    <row r="140">
      <c r="A140" s="2" t="inlineStr">
        <is>
          <t>ANDREY MUÑOZ</t>
        </is>
      </c>
      <c r="B140" s="2" t="inlineStr">
        <is>
          <t>2025-08-06</t>
        </is>
      </c>
      <c r="C140" s="3" t="n">
        <v>59360</v>
      </c>
      <c r="D140" s="3" t="n">
        <v/>
      </c>
      <c r="E140" s="3" t="n">
        <v>59360</v>
      </c>
      <c r="F140" s="2" t="n">
        <v/>
      </c>
    </row>
    <row r="141">
      <c r="A141" s="2" t="inlineStr">
        <is>
          <t>JAVIER ALEXIS PEREZ</t>
        </is>
      </c>
      <c r="B141" s="2" t="inlineStr">
        <is>
          <t>2025-08-12</t>
        </is>
      </c>
      <c r="C141" s="3" t="n">
        <v>1093170</v>
      </c>
      <c r="D141" s="3" t="n">
        <v/>
      </c>
      <c r="E141" s="3" t="n">
        <v>1093170</v>
      </c>
      <c r="F141" s="2" t="n">
        <v/>
      </c>
    </row>
    <row r="142">
      <c r="A142" s="2" t="inlineStr">
        <is>
          <t>JHONATAN ALEXANDER REYES</t>
        </is>
      </c>
      <c r="B142" s="2" t="inlineStr">
        <is>
          <t>2025-08-13</t>
        </is>
      </c>
      <c r="C142" s="3" t="n">
        <v>1433306</v>
      </c>
      <c r="D142" s="3" t="n">
        <v>500000</v>
      </c>
      <c r="E142" s="3" t="n">
        <v>933306</v>
      </c>
      <c r="F142" s="2" t="n">
        <v/>
      </c>
    </row>
    <row r="143">
      <c r="A143" s="2" t="inlineStr">
        <is>
          <t>CARLOS GAMEZ</t>
        </is>
      </c>
      <c r="B143" s="2" t="inlineStr">
        <is>
          <t>2025-08-13</t>
        </is>
      </c>
      <c r="C143" s="3" t="n">
        <v>1433306</v>
      </c>
      <c r="D143" s="3" t="n">
        <v/>
      </c>
      <c r="E143" s="3" t="n">
        <v>1433306</v>
      </c>
      <c r="F143" s="2" t="n">
        <v/>
      </c>
    </row>
    <row r="144">
      <c r="A144" s="2" t="inlineStr">
        <is>
          <t>RONI SANCHEZ</t>
        </is>
      </c>
      <c r="B144" s="2" t="inlineStr">
        <is>
          <t>2025-08-14</t>
        </is>
      </c>
      <c r="C144" s="3" t="n">
        <v>297749</v>
      </c>
      <c r="D144" s="3" t="n">
        <v/>
      </c>
      <c r="E144" s="3" t="n">
        <v>297749</v>
      </c>
      <c r="F144" s="2" t="n">
        <v/>
      </c>
    </row>
    <row r="145">
      <c r="A145" s="2" t="inlineStr">
        <is>
          <t>DEIMER RODRIGUEZ</t>
        </is>
      </c>
      <c r="B145" s="2" t="inlineStr">
        <is>
          <t>2025-08-14</t>
        </is>
      </c>
      <c r="C145" s="3" t="n">
        <v>307715</v>
      </c>
      <c r="D145" s="3" t="n">
        <v/>
      </c>
      <c r="E145" s="3" t="n">
        <v>307715</v>
      </c>
      <c r="F145" s="2" t="n">
        <v/>
      </c>
    </row>
    <row r="146">
      <c r="A146" s="2" t="inlineStr">
        <is>
          <t>ORLANDO PARADA</t>
        </is>
      </c>
      <c r="B146" s="2" t="inlineStr">
        <is>
          <t>2025-08-14</t>
        </is>
      </c>
      <c r="C146" s="3" t="n">
        <v>307715</v>
      </c>
      <c r="D146" s="3" t="n">
        <v/>
      </c>
      <c r="E146" s="3" t="n">
        <v>307715</v>
      </c>
      <c r="F146" s="2" t="n">
        <v/>
      </c>
    </row>
    <row r="147">
      <c r="A147" s="2" t="inlineStr">
        <is>
          <t>EDINSON CARVAJAL</t>
        </is>
      </c>
      <c r="B147" s="2" t="inlineStr">
        <is>
          <t>2025-08-16</t>
        </is>
      </c>
      <c r="C147" s="3" t="n">
        <v>2204105</v>
      </c>
      <c r="D147" s="3" t="n">
        <v>500000</v>
      </c>
      <c r="E147" s="3" t="n">
        <v>1704105</v>
      </c>
      <c r="F147" s="2" t="n">
        <v/>
      </c>
    </row>
    <row r="148">
      <c r="A148" s="2" t="inlineStr">
        <is>
          <t>ANGEL SEGOVIA</t>
        </is>
      </c>
      <c r="B148" s="2" t="inlineStr">
        <is>
          <t>2025-08-19</t>
        </is>
      </c>
      <c r="C148" s="3" t="n">
        <v>1621131</v>
      </c>
      <c r="D148" s="3" t="n">
        <v>1621131</v>
      </c>
      <c r="E148" s="3" t="n">
        <v>0</v>
      </c>
      <c r="F148" s="2" t="inlineStr">
        <is>
          <t>PAGA</t>
        </is>
      </c>
    </row>
    <row r="149">
      <c r="A149" s="2" t="inlineStr">
        <is>
          <t>PABLO HERNANDEZ</t>
        </is>
      </c>
      <c r="B149" s="2" t="inlineStr">
        <is>
          <t>2025-08-19</t>
        </is>
      </c>
      <c r="C149" s="3" t="n">
        <v>188299</v>
      </c>
      <c r="D149" s="3" t="n">
        <v/>
      </c>
      <c r="E149" s="3" t="n">
        <v>188299</v>
      </c>
      <c r="F149" s="2" t="n">
        <v/>
      </c>
    </row>
    <row r="150">
      <c r="A150" s="2" t="inlineStr">
        <is>
          <t>ELADIO MUÑOZ</t>
        </is>
      </c>
      <c r="B150" s="2" t="inlineStr">
        <is>
          <t>2025-08-19</t>
        </is>
      </c>
      <c r="C150" s="3" t="n">
        <v>188299</v>
      </c>
      <c r="D150" s="3" t="n">
        <v/>
      </c>
      <c r="E150" s="3" t="n">
        <v>188299</v>
      </c>
      <c r="F150" s="2" t="n">
        <v/>
      </c>
    </row>
    <row r="151">
      <c r="A151" s="2" t="inlineStr">
        <is>
          <t>YORFAN MUÑOZ</t>
        </is>
      </c>
      <c r="B151" s="2" t="inlineStr">
        <is>
          <t>2025-08-19</t>
        </is>
      </c>
      <c r="C151" s="3" t="n">
        <v>188299</v>
      </c>
      <c r="D151" s="3" t="n">
        <v/>
      </c>
      <c r="E151" s="3" t="n">
        <v>188299</v>
      </c>
      <c r="F151" s="2" t="n">
        <v/>
      </c>
    </row>
    <row r="152">
      <c r="A152" s="2" t="inlineStr">
        <is>
          <t>GONZALO HUMBERTO SEPULVEDA</t>
        </is>
      </c>
      <c r="B152" s="2" t="inlineStr">
        <is>
          <t>2025-09-24</t>
        </is>
      </c>
      <c r="C152" s="3" t="n">
        <v>357583</v>
      </c>
      <c r="D152" s="3" t="n">
        <v>357583</v>
      </c>
      <c r="E152" s="3" t="n">
        <v>0</v>
      </c>
      <c r="F152" s="2" t="inlineStr">
        <is>
          <t>PAGA</t>
        </is>
      </c>
    </row>
    <row r="153">
      <c r="A153" s="2" t="inlineStr">
        <is>
          <t>CRISTIAN VANEGAS</t>
        </is>
      </c>
      <c r="B153" s="2" t="inlineStr">
        <is>
          <t>2025-08-21</t>
        </is>
      </c>
      <c r="C153" s="3" t="n">
        <v>19776</v>
      </c>
      <c r="D153" s="3" t="n">
        <v/>
      </c>
      <c r="E153" s="3" t="n">
        <v>19776</v>
      </c>
      <c r="F153" s="2" t="n">
        <v/>
      </c>
    </row>
    <row r="154">
      <c r="A154" s="2" t="inlineStr">
        <is>
          <t>JESUS TORRES</t>
        </is>
      </c>
      <c r="B154" s="2" t="inlineStr">
        <is>
          <t>2025-08-23</t>
        </is>
      </c>
      <c r="C154" s="3" t="n">
        <v>49460</v>
      </c>
      <c r="D154" s="3" t="n">
        <v/>
      </c>
      <c r="E154" s="3" t="n">
        <v>49460</v>
      </c>
      <c r="F154" s="2" t="n">
        <v/>
      </c>
    </row>
    <row r="155">
      <c r="A155" s="2" t="inlineStr">
        <is>
          <t>LEANDRO GUTIERREZ</t>
        </is>
      </c>
      <c r="B155" s="2" t="inlineStr">
        <is>
          <t>2025-08-28</t>
        </is>
      </c>
      <c r="C155" s="3" t="n">
        <v>98986</v>
      </c>
      <c r="D155" s="3" t="n">
        <v/>
      </c>
      <c r="E155" s="3" t="n">
        <v>98986</v>
      </c>
      <c r="F155" s="2" t="n">
        <v/>
      </c>
    </row>
    <row r="156">
      <c r="A156" s="2" t="inlineStr">
        <is>
          <t>JAIME GUTIERREZ</t>
        </is>
      </c>
      <c r="B156" s="2" t="inlineStr">
        <is>
          <t>2025-08-26</t>
        </is>
      </c>
      <c r="C156" s="3" t="n">
        <v>79168</v>
      </c>
      <c r="D156" s="3" t="n">
        <v/>
      </c>
      <c r="E156" s="3" t="n">
        <v>79168</v>
      </c>
      <c r="F156" s="2" t="n">
        <v/>
      </c>
    </row>
    <row r="157">
      <c r="A157" s="2" t="inlineStr">
        <is>
          <t>DIOMEDES HERNANDEZ</t>
        </is>
      </c>
      <c r="B157" s="2" t="inlineStr">
        <is>
          <t>2025-08-26</t>
        </is>
      </c>
      <c r="C157" s="3" t="n">
        <v>79168</v>
      </c>
      <c r="D157" s="3" t="n">
        <v/>
      </c>
      <c r="E157" s="3" t="n">
        <v>79168</v>
      </c>
      <c r="F157" s="2" t="n">
        <v/>
      </c>
    </row>
    <row r="158">
      <c r="A158" s="2" t="inlineStr">
        <is>
          <t>JOSUE VILLALOBOS</t>
        </is>
      </c>
      <c r="B158" s="2" t="inlineStr">
        <is>
          <t>2025-08-29</t>
        </is>
      </c>
      <c r="C158" s="3" t="n">
        <v>19776</v>
      </c>
      <c r="D158" s="3" t="n">
        <v/>
      </c>
      <c r="E158" s="3" t="n">
        <v>19776</v>
      </c>
      <c r="F158" s="2" t="n">
        <v/>
      </c>
    </row>
    <row r="159">
      <c r="A159" s="2" t="inlineStr">
        <is>
          <t>JORGE LONDONO</t>
        </is>
      </c>
      <c r="B159" s="2" t="inlineStr">
        <is>
          <t>2025-09-03</t>
        </is>
      </c>
      <c r="C159" s="3" t="n">
        <v>138654</v>
      </c>
      <c r="D159" s="3" t="n">
        <v/>
      </c>
      <c r="E159" s="3" t="n">
        <v>138654</v>
      </c>
      <c r="F159" s="2" t="n">
        <v/>
      </c>
    </row>
    <row r="160">
      <c r="A160" s="2" t="inlineStr">
        <is>
          <t>CARLOS MARTINEZ</t>
        </is>
      </c>
      <c r="B160" s="2" t="inlineStr">
        <is>
          <t>2025-09-06</t>
        </is>
      </c>
      <c r="C160" s="3" t="n">
        <v>118815</v>
      </c>
      <c r="D160" s="3" t="n">
        <v/>
      </c>
      <c r="E160" s="3" t="n">
        <v>118815</v>
      </c>
      <c r="F160" s="2" t="n">
        <v/>
      </c>
    </row>
    <row r="161">
      <c r="A161" s="2" t="inlineStr">
        <is>
          <t>EDGAR COLMENARES</t>
        </is>
      </c>
      <c r="B161" s="2" t="inlineStr">
        <is>
          <t>2025-09-02</t>
        </is>
      </c>
      <c r="C161" s="3" t="n">
        <v>317683</v>
      </c>
      <c r="D161" s="3" t="n">
        <v/>
      </c>
      <c r="E161" s="3" t="n">
        <v>317683</v>
      </c>
      <c r="F161" s="2" t="n">
        <v/>
      </c>
    </row>
    <row r="162">
      <c r="A162" s="2" t="inlineStr">
        <is>
          <t>LUIS ALEXANDER CARDENAS</t>
        </is>
      </c>
      <c r="B162" s="2" t="inlineStr">
        <is>
          <t>2025-09-02</t>
        </is>
      </c>
      <c r="C162" s="3" t="n">
        <v>1262112</v>
      </c>
      <c r="D162" s="3" t="n">
        <v/>
      </c>
      <c r="E162" s="3" t="n">
        <v>1262112</v>
      </c>
      <c r="F162" s="2" t="n">
        <v/>
      </c>
    </row>
    <row r="163">
      <c r="A163" s="2" t="inlineStr">
        <is>
          <t>CARLOS MAURICIO HOWARD</t>
        </is>
      </c>
      <c r="B163" s="2" t="inlineStr">
        <is>
          <t>2025-09-10</t>
        </is>
      </c>
      <c r="C163" s="3" t="n">
        <v>218117</v>
      </c>
      <c r="D163" s="3" t="n">
        <v/>
      </c>
      <c r="E163" s="3" t="n">
        <v>218117</v>
      </c>
      <c r="F163" s="2" t="n">
        <v/>
      </c>
    </row>
    <row r="164">
      <c r="A164" s="2" t="inlineStr">
        <is>
          <t>EVERALDO DAZA</t>
        </is>
      </c>
      <c r="B164" s="2" t="inlineStr">
        <is>
          <t>2025-09-16</t>
        </is>
      </c>
      <c r="C164" s="3" t="n">
        <v>267867</v>
      </c>
      <c r="D164" s="3" t="n">
        <v/>
      </c>
      <c r="E164" s="3" t="n">
        <v>267867</v>
      </c>
      <c r="F164" s="2" t="n">
        <v/>
      </c>
    </row>
    <row r="165">
      <c r="A165" s="2" t="inlineStr">
        <is>
          <t>DUBIL ANTONIO LLANOS</t>
        </is>
      </c>
      <c r="B165" s="2" t="inlineStr">
        <is>
          <t>2025-09-16</t>
        </is>
      </c>
      <c r="C165" s="3" t="n">
        <v>148578</v>
      </c>
      <c r="D165" s="3" t="n">
        <v/>
      </c>
      <c r="E165" s="3" t="n">
        <v>148578</v>
      </c>
      <c r="F165" s="2" t="n">
        <v/>
      </c>
    </row>
    <row r="166">
      <c r="A166" s="2" t="inlineStr">
        <is>
          <t>YEIMER ALEXANDER DUEÑAS</t>
        </is>
      </c>
      <c r="B166" s="2" t="inlineStr">
        <is>
          <t>2025-09-17</t>
        </is>
      </c>
      <c r="C166" s="3" t="n">
        <v>79168</v>
      </c>
      <c r="D166" s="3" t="n">
        <v/>
      </c>
      <c r="E166" s="3" t="n">
        <v>79168</v>
      </c>
      <c r="F166" s="2" t="n">
        <v/>
      </c>
    </row>
    <row r="167">
      <c r="A167" s="2" t="inlineStr">
        <is>
          <t>CIRO MARTINEZ</t>
        </is>
      </c>
      <c r="B167" s="2" t="inlineStr">
        <is>
          <t>2025-09-18</t>
        </is>
      </c>
      <c r="C167" s="3" t="n">
        <v>238009</v>
      </c>
      <c r="D167" s="3" t="n">
        <v/>
      </c>
      <c r="E167" s="3" t="n">
        <v>238009</v>
      </c>
      <c r="F167" s="2" t="n">
        <v/>
      </c>
    </row>
    <row r="168">
      <c r="A168" s="2" t="inlineStr">
        <is>
          <t>WILLIAM FERNANDO PEDRAZA</t>
        </is>
      </c>
      <c r="B168" s="2" t="inlineStr">
        <is>
          <t>2025-09-19</t>
        </is>
      </c>
      <c r="C168" s="3" t="n">
        <v>648121</v>
      </c>
      <c r="D168" s="3" t="n">
        <v/>
      </c>
      <c r="E168" s="3" t="n">
        <v>648121</v>
      </c>
      <c r="F168" s="2" t="n">
        <v/>
      </c>
    </row>
    <row r="169">
      <c r="A169" s="2" t="inlineStr">
        <is>
          <t>LEIDER CASTRO</t>
        </is>
      </c>
      <c r="B169" s="2" t="inlineStr">
        <is>
          <t>2025-09-22</t>
        </is>
      </c>
      <c r="C169" s="3" t="n">
        <v>517606</v>
      </c>
      <c r="D169" s="3" t="n">
        <v/>
      </c>
      <c r="E169" s="3" t="n">
        <v>517606</v>
      </c>
      <c r="F169" s="2" t="n">
        <v/>
      </c>
    </row>
    <row r="170">
      <c r="A170" s="2" t="inlineStr">
        <is>
          <t>CESAR MARTINEZ</t>
        </is>
      </c>
      <c r="B170" s="2" t="inlineStr">
        <is>
          <t>2025-09-26</t>
        </is>
      </c>
      <c r="C170" s="3" t="n">
        <v>49460</v>
      </c>
      <c r="D170" s="3" t="n">
        <v/>
      </c>
      <c r="E170" s="3" t="n">
        <v>49460</v>
      </c>
      <c r="F170" s="2" t="n">
        <v/>
      </c>
    </row>
    <row r="171">
      <c r="A171" s="2" t="inlineStr">
        <is>
          <t>LEONARDO JIMENEZ</t>
        </is>
      </c>
      <c r="B171" s="2" t="inlineStr">
        <is>
          <t>2025-09-30</t>
        </is>
      </c>
      <c r="C171" s="3" t="n">
        <v>89076</v>
      </c>
      <c r="D171" s="3" t="n">
        <v/>
      </c>
      <c r="E171" s="3" t="n">
        <v>89076</v>
      </c>
      <c r="F171" s="2" t="n">
        <v/>
      </c>
    </row>
    <row r="172">
      <c r="A172" s="2" t="inlineStr">
        <is>
          <t>CAMILO ANDRES DIAZ</t>
        </is>
      </c>
      <c r="B172" s="2" t="inlineStr">
        <is>
          <t>2025-10-06</t>
        </is>
      </c>
      <c r="C172" s="3" t="n">
        <v>2294145</v>
      </c>
      <c r="D172" s="3" t="n">
        <v>2294145</v>
      </c>
      <c r="E172" s="3" t="n">
        <v>0</v>
      </c>
      <c r="F172" s="2" t="inlineStr">
        <is>
          <t>PAGA</t>
        </is>
      </c>
    </row>
    <row r="173">
      <c r="A173" s="2" t="inlineStr">
        <is>
          <t>BRAYAN SEBASTIAN SANCHEZ VARGAS</t>
        </is>
      </c>
      <c r="B173" s="2" t="inlineStr">
        <is>
          <t>2025-10-06</t>
        </is>
      </c>
      <c r="C173" s="3" t="n">
        <v>1285501</v>
      </c>
      <c r="D173" s="3" t="n">
        <v>1285501</v>
      </c>
      <c r="E173" s="3" t="n">
        <v>0</v>
      </c>
      <c r="F173" s="2" t="inlineStr">
        <is>
          <t>PAGA</t>
        </is>
      </c>
    </row>
    <row r="174">
      <c r="A174" s="2" t="inlineStr">
        <is>
          <t xml:space="preserve">SAMUEL CARDENAS SOLARTE </t>
        </is>
      </c>
      <c r="B174" s="2" t="inlineStr">
        <is>
          <t>2025-10-14</t>
        </is>
      </c>
      <c r="C174" s="3" t="n">
        <v>138654</v>
      </c>
      <c r="D174" s="3" t="n">
        <v/>
      </c>
      <c r="E174" s="3" t="n">
        <v>138654</v>
      </c>
      <c r="F174" s="2" t="n">
        <v/>
      </c>
    </row>
    <row r="175">
      <c r="A175" s="2" t="inlineStr">
        <is>
          <t xml:space="preserve">SERVILIO FUENTES </t>
        </is>
      </c>
      <c r="B175" s="2" t="inlineStr">
        <is>
          <t>2025-10-20</t>
        </is>
      </c>
      <c r="C175" s="3" t="n">
        <v>617962</v>
      </c>
      <c r="D175" s="3" t="n">
        <v>617962</v>
      </c>
      <c r="E175" s="3" t="n">
        <v>0</v>
      </c>
      <c r="F175" s="2" t="inlineStr">
        <is>
          <t>PAGA</t>
        </is>
      </c>
    </row>
    <row r="176">
      <c r="A176" s="2" t="inlineStr">
        <is>
          <t xml:space="preserve">ROBERT ORTEGA LOMBANA </t>
        </is>
      </c>
      <c r="B176" s="2" t="inlineStr">
        <is>
          <t>2025-10-28</t>
        </is>
      </c>
      <c r="C176" s="3" t="n">
        <v>267867</v>
      </c>
      <c r="D176" s="3" t="n">
        <v/>
      </c>
      <c r="E176" s="3" t="n">
        <v>267867</v>
      </c>
      <c r="F176" s="2" t="n">
        <v/>
      </c>
    </row>
    <row r="177">
      <c r="A177" s="2" t="inlineStr">
        <is>
          <t xml:space="preserve">HENRY CONTRERAS </t>
        </is>
      </c>
      <c r="B177" s="2" t="inlineStr">
        <is>
          <t>2025-10-03</t>
        </is>
      </c>
      <c r="C177" s="3" t="n">
        <v>188299</v>
      </c>
      <c r="D177" s="3" t="n">
        <v>188299</v>
      </c>
      <c r="E177" s="3" t="n">
        <v>0</v>
      </c>
      <c r="F177" s="2" t="inlineStr">
        <is>
          <t>PAGA</t>
        </is>
      </c>
    </row>
    <row r="178">
      <c r="A178" s="2" t="inlineStr">
        <is>
          <t xml:space="preserve">LUDWING CONTRERAS </t>
        </is>
      </c>
      <c r="B178" s="2" t="inlineStr">
        <is>
          <t>2025-10-03</t>
        </is>
      </c>
      <c r="C178" s="3" t="n">
        <v>188299</v>
      </c>
      <c r="D178" s="3" t="n">
        <v>188299</v>
      </c>
      <c r="E178" s="3" t="n">
        <v>0</v>
      </c>
      <c r="F178" s="2" t="inlineStr">
        <is>
          <t>PAGA</t>
        </is>
      </c>
    </row>
    <row r="179">
      <c r="A179" s="2" t="inlineStr">
        <is>
          <t xml:space="preserve">BRAYAN NEIR MARTINEZ RINCON </t>
        </is>
      </c>
      <c r="B179" s="2" t="inlineStr">
        <is>
          <t>2025-10-18</t>
        </is>
      </c>
      <c r="C179" s="3" t="n">
        <v>267867</v>
      </c>
      <c r="D179" s="3" t="n">
        <v/>
      </c>
      <c r="E179" s="3" t="n">
        <v>267867</v>
      </c>
      <c r="F179" s="2" t="n">
        <v/>
      </c>
    </row>
    <row r="180">
      <c r="A180" s="2" t="inlineStr">
        <is>
          <t xml:space="preserve">EDIER ALIRIO FUENTES FUENTES </t>
        </is>
      </c>
      <c r="B180" s="2" t="inlineStr">
        <is>
          <t>2025-10-18</t>
        </is>
      </c>
      <c r="C180" s="3" t="n">
        <v>257912</v>
      </c>
      <c r="D180" s="3" t="n">
        <v/>
      </c>
      <c r="E180" s="3" t="n">
        <v>257912</v>
      </c>
      <c r="F180" s="2" t="n">
        <v/>
      </c>
    </row>
    <row r="181">
      <c r="A181" s="2" t="inlineStr">
        <is>
          <t xml:space="preserve">JOSUE VILLALOVOS VALERA </t>
        </is>
      </c>
      <c r="B181" s="2" t="inlineStr">
        <is>
          <t>2025-10-30</t>
        </is>
      </c>
      <c r="C181" s="3" t="n">
        <v>208175</v>
      </c>
      <c r="D181" s="3" t="n">
        <v/>
      </c>
      <c r="E181" s="3" t="n">
        <v>208175</v>
      </c>
      <c r="F181" s="2" t="n">
        <v/>
      </c>
    </row>
    <row r="182">
      <c r="A182" s="2" t="inlineStr">
        <is>
          <t>FREDY RAFAEL ORDOÑEZ</t>
        </is>
      </c>
      <c r="B182" s="2" t="inlineStr">
        <is>
          <t>2025-07-30</t>
        </is>
      </c>
      <c r="C182" s="3" t="n">
        <v>839155</v>
      </c>
      <c r="D182" s="3" t="n">
        <v>839155</v>
      </c>
      <c r="E182" s="3" t="n">
        <v>0</v>
      </c>
      <c r="F182" s="2" t="inlineStr">
        <is>
          <t>PAGA</t>
        </is>
      </c>
    </row>
    <row r="183">
      <c r="A183" s="2" t="inlineStr">
        <is>
          <t>YEIMER ALEXANDER PEDRAZA PABON</t>
        </is>
      </c>
      <c r="B183" s="2" t="inlineStr">
        <is>
          <t>2025-10-30</t>
        </is>
      </c>
      <c r="C183" s="3" t="n">
        <v>2026543</v>
      </c>
      <c r="D183" s="3" t="n">
        <v>500000</v>
      </c>
      <c r="E183" s="3" t="n">
        <v>1526543</v>
      </c>
      <c r="F183" s="2" t="n">
        <v/>
      </c>
    </row>
    <row r="184">
      <c r="A184" s="2" t="inlineStr">
        <is>
          <t>JOHANNA PATRICIA PACHON REINOSO</t>
        </is>
      </c>
      <c r="B184" s="2" t="inlineStr">
        <is>
          <t>2025-12-30</t>
        </is>
      </c>
      <c r="C184" s="3" t="n">
        <v>11290939</v>
      </c>
      <c r="D184" s="3" t="n">
        <v>8116376</v>
      </c>
      <c r="E184" s="3" t="n">
        <v>3174563</v>
      </c>
      <c r="F184" s="2" t="n">
        <v/>
      </c>
    </row>
    <row r="185">
      <c r="A185" s="2" t="inlineStr">
        <is>
          <t>ANGARITA SANCHEZ BRAHIAM YAIR</t>
        </is>
      </c>
      <c r="B185" s="2" t="inlineStr">
        <is>
          <t>2025-11-07</t>
        </is>
      </c>
      <c r="C185" s="3" t="n">
        <v>2378464</v>
      </c>
      <c r="D185" s="3" t="n">
        <v/>
      </c>
      <c r="E185" s="3" t="n">
        <v>2378464</v>
      </c>
      <c r="F185" s="2" t="n">
        <v/>
      </c>
    </row>
    <row r="186">
      <c r="A186" s="2" t="inlineStr">
        <is>
          <t>OROZCO ROBLES KENIS MANUEL</t>
        </is>
      </c>
      <c r="B186" s="2" t="inlineStr">
        <is>
          <t>2025-11-18</t>
        </is>
      </c>
      <c r="C186" s="3" t="n">
        <v>477537</v>
      </c>
      <c r="D186" s="3" t="n">
        <v>477537</v>
      </c>
      <c r="E186" s="3" t="n">
        <v>0</v>
      </c>
      <c r="F186" s="2" t="inlineStr">
        <is>
          <t>PAGA</t>
        </is>
      </c>
    </row>
    <row r="187">
      <c r="A187" s="2" t="inlineStr">
        <is>
          <t>CASTANEDA PAIPA JAVIER ALEXANDER</t>
        </is>
      </c>
      <c r="B187" s="2" t="inlineStr">
        <is>
          <t>2025-11-08</t>
        </is>
      </c>
      <c r="C187" s="3" t="n">
        <v>238009</v>
      </c>
      <c r="D187" s="3" t="n">
        <v>238009</v>
      </c>
      <c r="E187" s="3" t="n">
        <v>0</v>
      </c>
      <c r="F187" s="2" t="inlineStr">
        <is>
          <t>PAGA</t>
        </is>
      </c>
    </row>
    <row r="188">
      <c r="A188" s="2" t="inlineStr">
        <is>
          <t>MENDIVELSO DURAN GREGORIO</t>
        </is>
      </c>
      <c r="B188" s="2" t="inlineStr">
        <is>
          <t>2025-11-01</t>
        </is>
      </c>
      <c r="C188" s="3" t="n">
        <v>39563</v>
      </c>
      <c r="D188" s="3" t="n">
        <v/>
      </c>
      <c r="E188" s="3" t="n">
        <v>39563</v>
      </c>
      <c r="F188" s="2" t="n">
        <v/>
      </c>
    </row>
    <row r="189">
      <c r="A189" s="2" t="inlineStr">
        <is>
          <t>CAPACHO MONTERREY CIRO ARLEY</t>
        </is>
      </c>
      <c r="B189" s="2" t="inlineStr">
        <is>
          <t>2025-11-28</t>
        </is>
      </c>
      <c r="C189" s="3" t="n">
        <v>1184832</v>
      </c>
      <c r="D189" s="3" t="n">
        <v>1184832</v>
      </c>
      <c r="E189" s="3" t="n">
        <v>0</v>
      </c>
      <c r="F189" s="2" t="inlineStr">
        <is>
          <t>PAGA</t>
        </is>
      </c>
    </row>
    <row r="190">
      <c r="A190" s="2" t="inlineStr">
        <is>
          <t>AGUILAR BARRERA JOHN FRED</t>
        </is>
      </c>
      <c r="B190" s="2" t="inlineStr">
        <is>
          <t>2025-12-01</t>
        </is>
      </c>
      <c r="C190" s="3" t="n">
        <v>1328238</v>
      </c>
      <c r="D190" s="3" t="n">
        <v>400000</v>
      </c>
      <c r="E190" s="3" t="n">
        <v>928238</v>
      </c>
      <c r="F190" s="2" t="n">
        <v/>
      </c>
    </row>
    <row r="191">
      <c r="A191" s="2" t="inlineStr">
        <is>
          <t>VALENCIA AHUMADA EMILIANO</t>
        </is>
      </c>
      <c r="B191" s="2" t="inlineStr">
        <is>
          <t>2025-12-18</t>
        </is>
      </c>
      <c r="C191" s="3" t="n">
        <v>3368741</v>
      </c>
      <c r="D191" s="3" t="n">
        <v>500000</v>
      </c>
      <c r="E191" s="3" t="n">
        <v>2868741</v>
      </c>
      <c r="F191" s="2" t="n">
        <v/>
      </c>
    </row>
    <row r="192">
      <c r="A192" s="2" t="inlineStr">
        <is>
          <t>CUEVAS NUNEZ CRISTIAN FERNANDO</t>
        </is>
      </c>
      <c r="B192" s="2" t="inlineStr">
        <is>
          <t>2025-12-15</t>
        </is>
      </c>
      <c r="C192" s="3" t="n">
        <v>748820</v>
      </c>
      <c r="D192" s="3" t="n">
        <v>748820</v>
      </c>
      <c r="E192" s="3" t="n">
        <v>0</v>
      </c>
      <c r="F192" s="2" t="inlineStr">
        <is>
          <t>PAGA</t>
        </is>
      </c>
    </row>
    <row r="193">
      <c r="A193" s="2" t="inlineStr">
        <is>
          <t>BURGOS JAIME LUIS ALBEIRO</t>
        </is>
      </c>
      <c r="B193" s="2" t="inlineStr">
        <is>
          <t>2025-12-15</t>
        </is>
      </c>
      <c r="C193" s="3" t="n">
        <v>748820</v>
      </c>
      <c r="D193" s="3" t="n">
        <v>748820</v>
      </c>
      <c r="E193" s="3" t="n">
        <v>0</v>
      </c>
      <c r="F193" s="2" t="inlineStr">
        <is>
          <t>PAGA</t>
        </is>
      </c>
    </row>
    <row r="194">
      <c r="A194" s="2" t="inlineStr">
        <is>
          <t>BALLESTA RANGEL ARLEY</t>
        </is>
      </c>
      <c r="B194" s="2" t="inlineStr">
        <is>
          <t>2025-12-20</t>
        </is>
      </c>
      <c r="C194" s="3" t="n">
        <v>799269</v>
      </c>
      <c r="D194" s="3" t="n">
        <v/>
      </c>
      <c r="E194" s="3" t="n">
        <v>799269</v>
      </c>
      <c r="F194" s="2" t="n">
        <v/>
      </c>
    </row>
    <row r="195">
      <c r="A195" s="2" t="inlineStr">
        <is>
          <t>RAMIREZ CANTILLO CESAR FRANCISCO</t>
        </is>
      </c>
      <c r="B195" s="2" t="inlineStr">
        <is>
          <t>2025-12-20</t>
        </is>
      </c>
      <c r="C195" s="3" t="n">
        <v>1561425</v>
      </c>
      <c r="D195" s="3" t="n">
        <v>500000</v>
      </c>
      <c r="E195" s="3" t="n">
        <v>1061425</v>
      </c>
      <c r="F195" s="2" t="n">
        <v/>
      </c>
    </row>
    <row r="196">
      <c r="A196" s="2" t="inlineStr">
        <is>
          <t>FUENTES YEISON FABIAN</t>
        </is>
      </c>
      <c r="B196" s="2" t="inlineStr">
        <is>
          <t>2025-12-11</t>
        </is>
      </c>
      <c r="C196" s="3" t="n">
        <v>1001722</v>
      </c>
      <c r="D196" s="3" t="n">
        <v>500000</v>
      </c>
      <c r="E196" s="3" t="n">
        <v>501722</v>
      </c>
      <c r="F196" s="2" t="n">
        <v/>
      </c>
    </row>
    <row r="197">
      <c r="A197" s="2" t="inlineStr">
        <is>
          <t>ORTIZ ONTIVERO JUAN SEBASTIAN</t>
        </is>
      </c>
      <c r="B197" s="2" t="inlineStr">
        <is>
          <t>2025-12-20</t>
        </is>
      </c>
      <c r="C197" s="3" t="n">
        <v>1409792</v>
      </c>
      <c r="D197" s="3" t="n">
        <v/>
      </c>
      <c r="E197" s="3" t="n">
        <v>1409792</v>
      </c>
      <c r="F197" s="2" t="n">
        <v/>
      </c>
    </row>
    <row r="198">
      <c r="A198" s="2" t="inlineStr">
        <is>
          <t>VEGA LIZARAZO ELIO HORMIDAS</t>
        </is>
      </c>
      <c r="B198" s="2" t="inlineStr">
        <is>
          <t>2025-12-15</t>
        </is>
      </c>
      <c r="C198" s="3" t="n">
        <v>748820</v>
      </c>
      <c r="D198" s="3" t="n">
        <v>748820</v>
      </c>
      <c r="E198" s="3" t="n">
        <v>0</v>
      </c>
      <c r="F198" s="2" t="inlineStr">
        <is>
          <t>PAGA</t>
        </is>
      </c>
    </row>
    <row r="199">
      <c r="A199" s="2" t="inlineStr">
        <is>
          <t xml:space="preserve">VICTOR BONILLA BLANCO </t>
        </is>
      </c>
      <c r="B199" s="2" t="inlineStr">
        <is>
          <t>2025-12-15</t>
        </is>
      </c>
      <c r="C199" s="3" t="n">
        <v>748820</v>
      </c>
      <c r="D199" s="3" t="n">
        <v>748820</v>
      </c>
      <c r="E199" s="3" t="n">
        <v>0</v>
      </c>
      <c r="F199" s="2" t="inlineStr">
        <is>
          <t>PAGA</t>
        </is>
      </c>
    </row>
    <row r="200">
      <c r="A200" s="2" t="inlineStr">
        <is>
          <t>FUENTES LIZARAZO JUNIOR DAVID</t>
        </is>
      </c>
      <c r="B200" s="2" t="inlineStr">
        <is>
          <t>2025-12-20</t>
        </is>
      </c>
      <c r="C200" s="3" t="n">
        <v>1415360</v>
      </c>
      <c r="D200" s="3" t="n">
        <v>1415360</v>
      </c>
      <c r="E200" s="3" t="n">
        <v>0</v>
      </c>
      <c r="F200" s="2" t="inlineStr">
        <is>
          <t>PAGA</t>
        </is>
      </c>
    </row>
    <row r="201">
      <c r="A201" s="2" t="inlineStr">
        <is>
          <t>CALDERON GONZALEZ JOHAN JOSE</t>
        </is>
      </c>
      <c r="B201" s="2" t="inlineStr">
        <is>
          <t>2025-12-20</t>
        </is>
      </c>
      <c r="C201" s="3" t="n">
        <v>799269</v>
      </c>
      <c r="D201" s="3" t="n">
        <v/>
      </c>
      <c r="E201" s="3" t="n">
        <v>799269</v>
      </c>
      <c r="F201" s="2" t="n">
        <v/>
      </c>
    </row>
    <row r="202">
      <c r="A202" s="2" t="inlineStr">
        <is>
          <t>REYES JHONATAN ALEXANDER</t>
        </is>
      </c>
      <c r="B202" s="2" t="inlineStr">
        <is>
          <t>2026-01-23</t>
        </is>
      </c>
      <c r="C202" s="3" t="n">
        <v>158347</v>
      </c>
      <c r="D202" s="3" t="n">
        <v/>
      </c>
      <c r="E202" s="3" t="n">
        <v>158347</v>
      </c>
      <c r="F202" s="2" t="n">
        <v/>
      </c>
    </row>
    <row r="203">
      <c r="A203" s="2" t="inlineStr">
        <is>
          <t>MARTINEZ LEIVA LEIDER JOSE</t>
        </is>
      </c>
      <c r="B203" s="2" t="inlineStr">
        <is>
          <t>2026-01-01</t>
        </is>
      </c>
      <c r="C203" s="3" t="n">
        <v>645847</v>
      </c>
      <c r="D203" s="3" t="n">
        <v/>
      </c>
      <c r="E203" s="3" t="n">
        <v>645847</v>
      </c>
      <c r="F203" s="2" t="n">
        <v/>
      </c>
    </row>
    <row r="204">
      <c r="A204" s="2" t="inlineStr">
        <is>
          <t>GOMEZ TARACHE FELIPE ISAI</t>
        </is>
      </c>
      <c r="B204" s="2" t="inlineStr">
        <is>
          <t>2026-01-01</t>
        </is>
      </c>
      <c r="C204" s="3" t="n">
        <v>2289606</v>
      </c>
      <c r="D204" s="3" t="n">
        <v>500000</v>
      </c>
      <c r="E204" s="3" t="n">
        <v>1789606</v>
      </c>
      <c r="F204" s="2" t="n">
        <v/>
      </c>
    </row>
    <row r="205">
      <c r="A205" s="2" t="inlineStr">
        <is>
          <t>RINCON SANGUINO CARLOS ALBERTO</t>
        </is>
      </c>
      <c r="B205" s="2" t="inlineStr">
        <is>
          <t>2026-01-15</t>
        </is>
      </c>
      <c r="C205" s="3" t="n">
        <v>108899</v>
      </c>
      <c r="D205" s="3" t="n">
        <v/>
      </c>
      <c r="E205" s="3" t="n">
        <v>108899</v>
      </c>
      <c r="F205" s="2" t="n">
        <v/>
      </c>
    </row>
    <row r="206">
      <c r="A206" s="2" t="inlineStr">
        <is>
          <t>OROPEZA COLMENARES EINER ALEXIS</t>
        </is>
      </c>
      <c r="B206" s="2" t="inlineStr">
        <is>
          <t>2026-01-01</t>
        </is>
      </c>
      <c r="C206" s="3" t="n">
        <v>352634</v>
      </c>
      <c r="D206" s="3" t="n">
        <v>352634</v>
      </c>
      <c r="E206" s="3" t="n">
        <v>0</v>
      </c>
      <c r="F206" s="2" t="inlineStr">
        <is>
          <t>PAGA</t>
        </is>
      </c>
    </row>
    <row r="207">
      <c r="A207" s="2" t="inlineStr">
        <is>
          <t>HERNANDEZ CHAPARRO JESUS BLADIMIR</t>
        </is>
      </c>
      <c r="B207" s="2" t="inlineStr">
        <is>
          <t>2026-01-15</t>
        </is>
      </c>
      <c r="C207" s="3" t="n">
        <v>681283</v>
      </c>
      <c r="D207" s="3" t="n">
        <v>681283</v>
      </c>
      <c r="E207" s="3" t="n">
        <v>0</v>
      </c>
      <c r="F207" s="2" t="inlineStr">
        <is>
          <t>PAGA</t>
        </is>
      </c>
    </row>
    <row r="208">
      <c r="A208" s="2" t="inlineStr">
        <is>
          <t>PINEDA MARTINEZ JAIR ANDRES</t>
        </is>
      </c>
      <c r="B208" s="2" t="inlineStr">
        <is>
          <t>2026-02-17</t>
        </is>
      </c>
      <c r="C208" s="3" t="n">
        <v>353976</v>
      </c>
      <c r="D208" s="3" t="n">
        <v/>
      </c>
      <c r="E208" s="3" t="n">
        <v>353976</v>
      </c>
      <c r="F208" s="2" t="n">
        <v/>
      </c>
    </row>
    <row r="209">
      <c r="A209" s="2" t="inlineStr">
        <is>
          <t>PULIDO PRIETO DIEGO ALEXANDER</t>
        </is>
      </c>
      <c r="B209" s="2" t="inlineStr">
        <is>
          <t>2026-01-19</t>
        </is>
      </c>
      <c r="C209" s="3" t="n">
        <v>24325</v>
      </c>
      <c r="D209" s="3" t="n">
        <v/>
      </c>
      <c r="E209" s="3" t="n">
        <v>24325</v>
      </c>
      <c r="F209" s="2" t="n">
        <v/>
      </c>
    </row>
    <row r="210">
      <c r="A210" s="2" t="inlineStr">
        <is>
          <t>CHALA CHALA LUIS ARMANDO</t>
        </is>
      </c>
      <c r="B210" s="2" t="inlineStr">
        <is>
          <t>2026-02-01</t>
        </is>
      </c>
      <c r="C210" s="3" t="n">
        <v>547673</v>
      </c>
      <c r="D210" s="3" t="n">
        <v/>
      </c>
      <c r="E210" s="3" t="n">
        <v>547673</v>
      </c>
      <c r="F210" s="2" t="n">
        <v/>
      </c>
    </row>
    <row r="211">
      <c r="A211" s="2" t="inlineStr">
        <is>
          <t>RUIZ GONZALEZ YOFAN FABIAN</t>
        </is>
      </c>
      <c r="B211" s="2" t="inlineStr">
        <is>
          <t>2026-02-10</t>
        </is>
      </c>
      <c r="C211" s="3" t="n">
        <v>829570</v>
      </c>
      <c r="D211" s="3" t="n">
        <v/>
      </c>
      <c r="E211" s="3" t="n">
        <v>829570</v>
      </c>
      <c r="F211" s="2" t="n">
        <v/>
      </c>
    </row>
    <row r="212">
      <c r="A212" s="2" t="inlineStr">
        <is>
          <t>MARTINEZ FUENTES HECTOR FABIO</t>
        </is>
      </c>
      <c r="B212" s="2" t="inlineStr">
        <is>
          <t>2026-02-17</t>
        </is>
      </c>
      <c r="C212" s="3" t="n">
        <v>427553</v>
      </c>
      <c r="D212" s="3" t="n">
        <v/>
      </c>
      <c r="E212" s="3" t="n">
        <v>427553</v>
      </c>
      <c r="F212" s="2" t="n">
        <v/>
      </c>
    </row>
    <row r="213">
      <c r="A213" s="2" t="inlineStr">
        <is>
          <t>PEDRAZA MESA JAVIER ALEXANDER</t>
        </is>
      </c>
      <c r="B213" s="2" t="inlineStr">
        <is>
          <t>2026-02-21</t>
        </is>
      </c>
      <c r="C213" s="3" t="n">
        <v>1201968</v>
      </c>
      <c r="D213" s="3" t="n">
        <v>500000</v>
      </c>
      <c r="E213" s="3" t="n">
        <v>701968</v>
      </c>
      <c r="F213" s="2" t="n">
        <v/>
      </c>
    </row>
    <row r="214">
      <c r="A214" s="2" t="inlineStr">
        <is>
          <t>RINCON RIVERA WALTER FABIAN</t>
        </is>
      </c>
      <c r="B214" s="2" t="inlineStr">
        <is>
          <t>2026-02-19</t>
        </is>
      </c>
      <c r="C214" s="3" t="n">
        <v>480171</v>
      </c>
      <c r="D214" s="3" t="n">
        <v/>
      </c>
      <c r="E214" s="3" t="n">
        <v>480171</v>
      </c>
      <c r="F214" s="2" t="n">
        <v/>
      </c>
    </row>
    <row r="215">
      <c r="A215" s="2" t="inlineStr">
        <is>
          <t>CARDENAS AGUILAR JESUS ALBERTO</t>
        </is>
      </c>
      <c r="B215" s="2" t="inlineStr">
        <is>
          <t>2026-02-04</t>
        </is>
      </c>
      <c r="C215" s="3" t="n">
        <v>366231</v>
      </c>
      <c r="D215" s="3" t="n">
        <v/>
      </c>
      <c r="E215" s="3" t="n">
        <v>366231</v>
      </c>
      <c r="F215" s="2" t="n">
        <v/>
      </c>
    </row>
    <row r="216">
      <c r="A216" s="2" t="inlineStr">
        <is>
          <t>SERPA VILLALOBOS GUSTAVO ADOLFO</t>
        </is>
      </c>
      <c r="B216" s="2" t="inlineStr">
        <is>
          <t>2026-02-01</t>
        </is>
      </c>
      <c r="C216" s="3" t="n">
        <v>926758</v>
      </c>
      <c r="D216" s="3" t="n">
        <v>500000</v>
      </c>
      <c r="E216" s="3" t="n">
        <v>426758</v>
      </c>
      <c r="F216" s="2" t="n">
        <v/>
      </c>
    </row>
    <row r="217">
      <c r="A217" s="2" t="inlineStr">
        <is>
          <t>ROJAS SOCHA WILSON FABIAN</t>
        </is>
      </c>
      <c r="B217" s="2" t="inlineStr">
        <is>
          <t>2026-02-04</t>
        </is>
      </c>
      <c r="C217" s="3" t="n">
        <v>366231</v>
      </c>
      <c r="D217" s="3" t="n">
        <v/>
      </c>
      <c r="E217" s="3" t="n">
        <v>366231</v>
      </c>
      <c r="F217" s="2" t="n">
        <v/>
      </c>
    </row>
    <row r="218">
      <c r="A218" s="2" t="inlineStr">
        <is>
          <t>SANCHEZ VARGAS BRAYAN SEBASTIAN</t>
        </is>
      </c>
      <c r="B218" s="2" t="inlineStr">
        <is>
          <t>2026-03-27</t>
        </is>
      </c>
      <c r="C218" s="3" t="n">
        <v>170545</v>
      </c>
      <c r="D218" s="3" t="n">
        <v/>
      </c>
      <c r="E218" s="3" t="n">
        <v>170545</v>
      </c>
      <c r="F218" s="2" t="n">
        <v/>
      </c>
    </row>
    <row r="219">
      <c r="A219" s="2" t="inlineStr">
        <is>
          <t>CARRENO HERNANDEZ LUIS ALEXANDER</t>
        </is>
      </c>
      <c r="B219" s="2" t="inlineStr">
        <is>
          <t>2026-03-03</t>
        </is>
      </c>
      <c r="C219" s="3" t="n">
        <v>12161</v>
      </c>
      <c r="D219" s="3" t="n">
        <v/>
      </c>
      <c r="E219" s="3" t="n">
        <v>12161</v>
      </c>
      <c r="F219" s="2" t="n">
        <v/>
      </c>
    </row>
    <row r="220">
      <c r="A220" s="2" t="inlineStr">
        <is>
          <t>TIBADUIZA SOLANO JHON SEBASTIAN</t>
        </is>
      </c>
      <c r="B220" s="2" t="inlineStr">
        <is>
          <t>2026-03-02</t>
        </is>
      </c>
      <c r="C220" s="3" t="n">
        <v>12161</v>
      </c>
      <c r="D220" s="3" t="n">
        <v/>
      </c>
      <c r="E220" s="3" t="n">
        <v>12161</v>
      </c>
      <c r="F220" s="2" t="n">
        <v/>
      </c>
    </row>
    <row r="221">
      <c r="A221" s="2" t="inlineStr">
        <is>
          <t>ROJAS SOCHA DIYER ALIRIO</t>
        </is>
      </c>
      <c r="B221" s="2" t="inlineStr">
        <is>
          <t>2026-03-01</t>
        </is>
      </c>
      <c r="C221" s="3" t="n">
        <v>194960</v>
      </c>
      <c r="D221" s="3" t="n">
        <v/>
      </c>
      <c r="E221" s="3" t="n">
        <v>194960</v>
      </c>
      <c r="F221" s="2" t="n">
        <v/>
      </c>
    </row>
    <row r="222">
      <c r="A222" s="2" t="inlineStr">
        <is>
          <t>ROJAS SOCHA JEISON ALBEIRO</t>
        </is>
      </c>
      <c r="B222" s="2" t="inlineStr">
        <is>
          <t>2026-03-01</t>
        </is>
      </c>
      <c r="C222" s="3" t="n">
        <v>341725</v>
      </c>
      <c r="D222" s="3" t="n">
        <v/>
      </c>
      <c r="E222" s="3" t="n">
        <v>341725</v>
      </c>
      <c r="F222" s="2" t="n">
        <v/>
      </c>
    </row>
    <row r="223">
      <c r="A223" s="2" t="inlineStr">
        <is>
          <t>CORONADO ROJAS ALFREDO JOSE</t>
        </is>
      </c>
      <c r="B223" s="2" t="inlineStr">
        <is>
          <t>2026-03-09</t>
        </is>
      </c>
      <c r="C223" s="3" t="n">
        <v>12161</v>
      </c>
      <c r="D223" s="3" t="n">
        <v/>
      </c>
      <c r="E223" s="3" t="n">
        <v>12161</v>
      </c>
      <c r="F223" s="2" t="n">
        <v/>
      </c>
    </row>
    <row r="224">
      <c r="A224" s="2" t="inlineStr">
        <is>
          <t>CARRILLO VEGA JONNY ERNEY</t>
        </is>
      </c>
      <c r="B224" s="2" t="inlineStr">
        <is>
          <t>2026-03-09</t>
        </is>
      </c>
      <c r="C224" s="3" t="n">
        <v>12161</v>
      </c>
      <c r="D224" s="3" t="n">
        <v/>
      </c>
      <c r="E224" s="3" t="n">
        <v>12161</v>
      </c>
      <c r="F224" s="2" t="n">
        <v/>
      </c>
    </row>
    <row r="225">
      <c r="A225" s="2" t="inlineStr">
        <is>
          <t>DOMINGUEZ CONTRERAS JHON JAIRO</t>
        </is>
      </c>
      <c r="B225" s="2" t="inlineStr">
        <is>
          <t>2026-03-19</t>
        </is>
      </c>
      <c r="C225" s="3" t="n">
        <v>292751</v>
      </c>
      <c r="D225" s="3" t="n">
        <v/>
      </c>
      <c r="E225" s="3" t="n">
        <v>292751</v>
      </c>
      <c r="F225" s="2" t="n">
        <v/>
      </c>
    </row>
    <row r="226">
      <c r="A226" s="2" t="inlineStr">
        <is>
          <t>MENDIVELSO SANCHEZ PEDRO ALEJANDRO</t>
        </is>
      </c>
      <c r="B226" s="2" t="inlineStr">
        <is>
          <t>2026-03-09</t>
        </is>
      </c>
      <c r="C226" s="3" t="n">
        <v>12161</v>
      </c>
      <c r="D226" s="3" t="n">
        <v/>
      </c>
      <c r="E226" s="3" t="n">
        <v>12161</v>
      </c>
      <c r="F226" s="2" t="n">
        <v/>
      </c>
    </row>
    <row r="227">
      <c r="A227" s="2" t="inlineStr">
        <is>
          <t>ROMERO HEBERT YESID</t>
        </is>
      </c>
      <c r="B227" s="2" t="inlineStr">
        <is>
          <t>2026-03-09</t>
        </is>
      </c>
      <c r="C227" s="3" t="n">
        <v>12161</v>
      </c>
      <c r="D227" s="3" t="n">
        <v/>
      </c>
      <c r="E227" s="3" t="n">
        <v>12161</v>
      </c>
      <c r="F227" s="2" t="n">
        <v/>
      </c>
    </row>
    <row r="228">
      <c r="A228" s="2" t="inlineStr">
        <is>
          <t>MEDINA ARGUELLO CIRO ALFONSO</t>
        </is>
      </c>
      <c r="B228" s="2" t="inlineStr">
        <is>
          <t>2026-03-01</t>
        </is>
      </c>
      <c r="C228" s="3" t="n">
        <v>158342</v>
      </c>
      <c r="D228" s="3" t="n">
        <v/>
      </c>
      <c r="E228" s="3" t="n">
        <v>158342</v>
      </c>
      <c r="F228" s="2" t="n">
        <v/>
      </c>
    </row>
    <row r="229">
      <c r="A229" s="2" t="inlineStr">
        <is>
          <t>JOSE ALEXIS JIMENEZ TORRES</t>
        </is>
      </c>
      <c r="B229" s="2" t="inlineStr">
        <is>
          <t>2026-03-06</t>
        </is>
      </c>
      <c r="C229" s="3" t="n">
        <v>2305113</v>
      </c>
      <c r="D229" s="3" t="n">
        <v>500000</v>
      </c>
      <c r="E229" s="3" t="n">
        <v>1805113</v>
      </c>
      <c r="F229" s="2" t="n">
        <v/>
      </c>
    </row>
    <row r="230">
      <c r="A230" s="2" t="inlineStr">
        <is>
          <t>LEIDY PAOLA CASTAÑO</t>
        </is>
      </c>
      <c r="B230" s="2" t="inlineStr">
        <is>
          <t>2025-10-24</t>
        </is>
      </c>
      <c r="C230" s="3" t="n">
        <v>179915</v>
      </c>
      <c r="D230" s="3" t="n">
        <v>179915</v>
      </c>
      <c r="E230" s="3" t="n">
        <v>0</v>
      </c>
      <c r="F230" s="2" t="inlineStr">
        <is>
          <t>PAGA</t>
        </is>
      </c>
    </row>
    <row r="231">
      <c r="A231" s="2" t="inlineStr">
        <is>
          <t>CRUZ MONTOYA GUSTAVO</t>
        </is>
      </c>
      <c r="B231" s="2" t="inlineStr">
        <is>
          <t>2026-04-09</t>
        </is>
      </c>
      <c r="C231" s="3" t="n">
        <v>48662.18933333333</v>
      </c>
      <c r="D231" s="3" t="n">
        <v/>
      </c>
      <c r="E231" s="3" t="n">
        <v>48662.18933333333</v>
      </c>
      <c r="F231" s="2" t="n">
        <v/>
      </c>
    </row>
    <row r="232">
      <c r="A232" s="2" t="inlineStr">
        <is>
          <t>ROJAS BARRERA RICARDO ALMEIRO</t>
        </is>
      </c>
      <c r="B232" s="2" t="inlineStr">
        <is>
          <t>2026-04-28</t>
        </is>
      </c>
      <c r="C232" s="3" t="n">
        <v>513540.4365</v>
      </c>
      <c r="D232" s="3" t="n">
        <v/>
      </c>
      <c r="E232" s="3" t="n">
        <v>513540.4365</v>
      </c>
      <c r="F232" s="2" t="n">
        <v/>
      </c>
    </row>
    <row r="233">
      <c r="A233" s="2" t="inlineStr">
        <is>
          <t>CASTANO MERCHAN LEIDY PAOLA</t>
        </is>
      </c>
      <c r="B233" s="2" t="inlineStr">
        <is>
          <t>2026-04-24</t>
        </is>
      </c>
      <c r="C233" s="3" t="n">
        <v>2241158.4</v>
      </c>
      <c r="D233" s="3" t="n">
        <v/>
      </c>
      <c r="E233" s="3" t="n">
        <v>2241158.4</v>
      </c>
      <c r="F233" s="2" t="n">
        <v/>
      </c>
    </row>
    <row r="234">
      <c r="A234" s="2" t="inlineStr">
        <is>
          <t>ALARCON CARDENAS CARLOS DANIEL</t>
        </is>
      </c>
      <c r="B234" s="2" t="inlineStr">
        <is>
          <t>2026-04-12</t>
        </is>
      </c>
      <c r="C234" s="3" t="n">
        <v>488956.4333333333</v>
      </c>
      <c r="D234" s="3" t="n">
        <v/>
      </c>
      <c r="E234" s="3" t="n">
        <v>488956.4333333333</v>
      </c>
      <c r="F234" s="2" t="n">
        <v/>
      </c>
    </row>
    <row r="235">
      <c r="A235" s="2" t="inlineStr">
        <is>
          <t>MALPICA VEGA JHON ALEXANDER</t>
        </is>
      </c>
      <c r="B235" s="2" t="inlineStr">
        <is>
          <t>2026-04-20</t>
        </is>
      </c>
      <c r="C235" s="3" t="n">
        <v>575057.1867083333</v>
      </c>
      <c r="D235" s="3" t="n">
        <v/>
      </c>
      <c r="E235" s="3" t="n">
        <v>575057.1867083333</v>
      </c>
      <c r="F235" s="2" t="n">
        <v/>
      </c>
    </row>
    <row r="236">
      <c r="A236" s="2" t="inlineStr">
        <is>
          <t>LOPEZ GOMEZ GUILLERMO EDUARDO</t>
        </is>
      </c>
      <c r="B236" s="2" t="inlineStr">
        <is>
          <t>2026-04-27</t>
        </is>
      </c>
      <c r="C236" s="3" t="n">
        <v>85192.87670833332</v>
      </c>
      <c r="D236" s="3" t="n">
        <v/>
      </c>
      <c r="E236" s="3" t="n">
        <v>85192.87670833332</v>
      </c>
      <c r="F236" s="2" t="n">
        <v/>
      </c>
    </row>
    <row r="237">
      <c r="A237" s="2" t="inlineStr">
        <is>
          <t>HILLON MACIAS DANIEL ALEJANDRO</t>
        </is>
      </c>
      <c r="B237" s="2" t="inlineStr">
        <is>
          <t>2026-04-13</t>
        </is>
      </c>
      <c r="C237" s="3" t="n">
        <v>2574735.633375</v>
      </c>
      <c r="D237" s="3" t="n">
        <v/>
      </c>
      <c r="E237" s="3" t="n">
        <v>2574735.633375</v>
      </c>
      <c r="F237" s="2" t="n">
        <v/>
      </c>
    </row>
    <row r="238">
      <c r="A238" s="2" t="inlineStr">
        <is>
          <t>BERDUGO GONZALEZ JAIME ALBERTO</t>
        </is>
      </c>
      <c r="B238" s="2" t="inlineStr">
        <is>
          <t>2026-04-16</t>
        </is>
      </c>
      <c r="C238" s="3" t="n">
        <v>353976.2487083333</v>
      </c>
      <c r="D238" s="3" t="n">
        <v/>
      </c>
      <c r="E238" s="3" t="n">
        <v>353976.2487083333</v>
      </c>
      <c r="F238" s="2" t="n">
        <v/>
      </c>
    </row>
    <row r="239">
      <c r="A239" s="2" t="inlineStr">
        <is>
          <t>CUSPOCA MOLINA JANCARLOS</t>
        </is>
      </c>
      <c r="B239" s="2" t="inlineStr">
        <is>
          <t>2026-04-21</t>
        </is>
      </c>
      <c r="C239" s="3" t="n">
        <v>329476.548375</v>
      </c>
      <c r="D239" s="3" t="n">
        <v/>
      </c>
      <c r="E239" s="3" t="n">
        <v>329476.548375</v>
      </c>
      <c r="F239" s="2" t="n">
        <v/>
      </c>
    </row>
    <row r="240">
      <c r="A240" s="2" t="inlineStr">
        <is>
          <t>ARENAS MENDOZA LUIS ANGEL</t>
        </is>
      </c>
      <c r="B240" s="2" t="inlineStr">
        <is>
          <t>2026-04-16</t>
        </is>
      </c>
      <c r="C240" s="3" t="n">
        <v>415282.2418333333</v>
      </c>
      <c r="D240" s="3" t="n">
        <v/>
      </c>
      <c r="E240" s="3" t="n">
        <v>415282.2418333333</v>
      </c>
      <c r="F240" s="2" t="n">
        <v/>
      </c>
    </row>
    <row r="241">
      <c r="A241" s="2" t="inlineStr">
        <is>
          <t>RODRIGUEZ TORRES ROBINSON FABIAN</t>
        </is>
      </c>
      <c r="B241" s="2" t="inlineStr">
        <is>
          <t>2026-04-09</t>
        </is>
      </c>
      <c r="C241" s="3" t="n">
        <v>182750.709375</v>
      </c>
      <c r="D241" s="3" t="n">
        <v/>
      </c>
      <c r="E241" s="3" t="n">
        <v>182750.709375</v>
      </c>
      <c r="F241" s="2" t="n">
        <v/>
      </c>
    </row>
    <row r="242">
      <c r="A242" s="2" t="inlineStr">
        <is>
          <t>CARVAJAL TORRES EDWIN FERNANDO</t>
        </is>
      </c>
      <c r="B242" s="2" t="inlineStr">
        <is>
          <t>2026-04-09</t>
        </is>
      </c>
      <c r="C242" s="3" t="n">
        <v>182750.709375</v>
      </c>
      <c r="D242" s="3" t="n">
        <v/>
      </c>
      <c r="E242" s="3" t="n">
        <v>182750.709375</v>
      </c>
      <c r="F242" s="2" t="n">
        <v/>
      </c>
    </row>
    <row r="243">
      <c r="A243" s="2" t="inlineStr">
        <is>
          <t>TOTAL</t>
        </is>
      </c>
      <c r="B243" s="2" t="n">
        <v/>
      </c>
      <c r="C243" s="3" t="n">
        <v>179084495.613625</v>
      </c>
      <c r="D243" s="3" t="n">
        <v>72426922</v>
      </c>
      <c r="E243" s="3" t="n">
        <v>106657573.613625</v>
      </c>
      <c r="F243"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3" customWidth="1" min="1" max="1"/>
    <col width="14" customWidth="1" min="2" max="2"/>
    <col width="25" customWidth="1" min="3" max="3"/>
    <col width="22" customWidth="1" min="4" max="4"/>
    <col width="19" customWidth="1" min="5" max="5"/>
    <col width="22" customWidth="1" min="6" max="6"/>
  </cols>
  <sheetData>
    <row r="1">
      <c r="A1" s="1" t="inlineStr">
        <is>
          <t>Actividad de Bienestar</t>
        </is>
      </c>
      <c r="B1" s="1" t="inlineStr">
        <is>
          <t>Frecuencia</t>
        </is>
      </c>
      <c r="C1" s="1" t="inlineStr">
        <is>
          <t>Costo Unitario Estimado</t>
        </is>
      </c>
      <c r="D1" s="1" t="inlineStr">
        <is>
          <t>Cantidad (Trimestre)</t>
        </is>
      </c>
      <c r="E1" s="1" t="inlineStr">
        <is>
          <t>Presupuesto Total</t>
        </is>
      </c>
      <c r="F1" s="1" t="inlineStr">
        <is>
          <t>Estado/Aprobación</t>
        </is>
      </c>
    </row>
    <row r="2">
      <c r="A2" s="2" t="inlineStr">
        <is>
          <t>Celebración de cumpleaños por mes</t>
        </is>
      </c>
      <c r="B2" s="2" t="inlineStr">
        <is>
          <t>Mensual</t>
        </is>
      </c>
      <c r="C2" s="3" t="n">
        <v>150000</v>
      </c>
      <c r="D2" s="2" t="n">
        <v>3</v>
      </c>
      <c r="E2" s="3">
        <f>C2*D2</f>
        <v/>
      </c>
      <c r="F2" s="2" t="inlineStr">
        <is>
          <t>Pendiente</t>
        </is>
      </c>
    </row>
    <row r="3">
      <c r="A3" s="2" t="inlineStr">
        <is>
          <t>Videos familiares motivacionales</t>
        </is>
      </c>
      <c r="B3" s="2" t="inlineStr">
        <is>
          <t>Diario/Turno</t>
        </is>
      </c>
      <c r="C3" s="3" t="n">
        <v>0</v>
      </c>
      <c r="D3" s="2" t="n">
        <v>90</v>
      </c>
      <c r="E3" s="3">
        <f>C3*D3</f>
        <v/>
      </c>
      <c r="F3" s="2" t="inlineStr">
        <is>
          <t>Aprobado (Sin Costo)</t>
        </is>
      </c>
    </row>
    <row r="4">
      <c r="A4" s="2" t="inlineStr">
        <is>
          <t>Integración Comfaboy (piscina y almuerzo)</t>
        </is>
      </c>
      <c r="B4" s="2" t="inlineStr">
        <is>
          <t>Trimestral</t>
        </is>
      </c>
      <c r="C4" s="3" t="n">
        <v>60000</v>
      </c>
      <c r="D4" s="2" t="n">
        <v>20</v>
      </c>
      <c r="E4" s="3">
        <f>C4*D4</f>
        <v/>
      </c>
      <c r="F4" s="2" t="inlineStr">
        <is>
          <t>Pendiente</t>
        </is>
      </c>
    </row>
    <row r="5">
      <c r="A5" s="2" t="inlineStr">
        <is>
          <t>Integración administrativa</t>
        </is>
      </c>
      <c r="B5" s="2" t="inlineStr">
        <is>
          <t>Trimestral</t>
        </is>
      </c>
      <c r="C5" s="3" t="n">
        <v>120000</v>
      </c>
      <c r="D5" s="2" t="n">
        <v>10</v>
      </c>
      <c r="E5" s="3">
        <f>C5*D5</f>
        <v/>
      </c>
      <c r="F5" s="2" t="inlineStr">
        <is>
          <t>Pendiente</t>
        </is>
      </c>
    </row>
    <row r="6">
      <c r="A6" s="2" t="inlineStr">
        <is>
          <t>Cambio de colchonetas</t>
        </is>
      </c>
      <c r="B6" s="2" t="inlineStr">
        <is>
          <t>Mensual</t>
        </is>
      </c>
      <c r="C6" s="3" t="n">
        <v>45000</v>
      </c>
      <c r="D6" s="2" t="n">
        <v>15</v>
      </c>
      <c r="E6" s="3">
        <f>C6*D6</f>
        <v/>
      </c>
      <c r="F6" s="2" t="inlineStr">
        <is>
          <t>Aprobado</t>
        </is>
      </c>
    </row>
    <row r="7">
      <c r="A7" s="2" t="inlineStr">
        <is>
          <t>Reconocimiento trabajadores destacados</t>
        </is>
      </c>
      <c r="B7" s="2" t="inlineStr">
        <is>
          <t>Mensual</t>
        </is>
      </c>
      <c r="C7" s="3" t="n">
        <v>50000</v>
      </c>
      <c r="D7" s="2" t="n">
        <v>3</v>
      </c>
      <c r="E7" s="3">
        <f>C7*D7</f>
        <v/>
      </c>
      <c r="F7" s="2" t="inlineStr">
        <is>
          <t>Pendiente</t>
        </is>
      </c>
    </row>
    <row r="8">
      <c r="A8" s="2" t="inlineStr">
        <is>
          <t>Incentivo en alimentación operativo</t>
        </is>
      </c>
      <c r="B8" s="2" t="inlineStr">
        <is>
          <t>Mensual</t>
        </is>
      </c>
      <c r="C8" s="3" t="n">
        <v>30000</v>
      </c>
      <c r="D8" s="2" t="n">
        <v>60</v>
      </c>
      <c r="E8" s="3">
        <f>C8*D8</f>
        <v/>
      </c>
      <c r="F8" s="2" t="inlineStr">
        <is>
          <t>Pendiente</t>
        </is>
      </c>
    </row>
    <row r="9">
      <c r="A9" s="2" t="inlineStr"/>
      <c r="B9" s="2" t="inlineStr"/>
      <c r="C9" s="2" t="inlineStr"/>
      <c r="D9" s="4" t="inlineStr">
        <is>
          <t>TOTAL PRESUPUESTO:</t>
        </is>
      </c>
      <c r="E9" s="5">
        <f>SUM(E2:E8)</f>
        <v/>
      </c>
      <c r="F9"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49" customWidth="1" min="1" max="1"/>
    <col width="27" customWidth="1" min="2" max="2"/>
    <col width="16" customWidth="1" min="3" max="3"/>
    <col width="16" customWidth="1" min="4" max="4"/>
    <col width="18" customWidth="1" min="5" max="5"/>
  </cols>
  <sheetData>
    <row r="1">
      <c r="A1" s="1" t="inlineStr">
        <is>
          <t>Iniciativa Social</t>
        </is>
      </c>
      <c r="B1" s="1" t="inlineStr">
        <is>
          <t>Beneficiarios</t>
        </is>
      </c>
      <c r="C1" s="1" t="inlineStr">
        <is>
          <t>Costo Estimado</t>
        </is>
      </c>
      <c r="D1" s="1" t="inlineStr">
        <is>
          <t>Mes Proyectado</t>
        </is>
      </c>
      <c r="E1" s="1" t="inlineStr">
        <is>
          <t>Responsable</t>
        </is>
      </c>
    </row>
    <row r="2">
      <c r="A2" s="2" t="inlineStr">
        <is>
          <t>Visita a familias con detalles (mercado/frutas)</t>
        </is>
      </c>
      <c r="B2" s="2" t="inlineStr">
        <is>
          <t>Familias Trabajadores</t>
        </is>
      </c>
      <c r="C2" s="3" t="n">
        <v>800000</v>
      </c>
      <c r="D2" s="2" t="inlineStr">
        <is>
          <t>Julio</t>
        </is>
      </c>
      <c r="E2" s="2" t="inlineStr">
        <is>
          <t>Recursos Humanos</t>
        </is>
      </c>
    </row>
    <row r="3">
      <c r="A3" s="2" t="inlineStr">
        <is>
          <t>Viajes turísticos</t>
        </is>
      </c>
      <c r="B3" s="2" t="inlineStr">
        <is>
          <t>Adultos Mayores (Vecinos)</t>
        </is>
      </c>
      <c r="C3" s="3" t="n">
        <v>1500000</v>
      </c>
      <c r="D3" s="2" t="inlineStr">
        <is>
          <t>Agosto</t>
        </is>
      </c>
      <c r="E3" s="2" t="inlineStr">
        <is>
          <t>Gestión Social</t>
        </is>
      </c>
    </row>
    <row r="4">
      <c r="A4" s="2" t="inlineStr">
        <is>
          <t>Integración escuela Sagra (onces y charla)</t>
        </is>
      </c>
      <c r="B4" s="2" t="inlineStr">
        <is>
          <t>Alumnos Sagra</t>
        </is>
      </c>
      <c r="C4" s="3" t="n">
        <v>600000</v>
      </c>
      <c r="D4" s="2" t="inlineStr">
        <is>
          <t>Septiembre</t>
        </is>
      </c>
      <c r="E4" s="2" t="inlineStr">
        <is>
          <t>HSEQ / RRHH</t>
        </is>
      </c>
    </row>
    <row r="5">
      <c r="A5" s="2" t="inlineStr">
        <is>
          <t>Jornada de salud visual (Optisalud)</t>
        </is>
      </c>
      <c r="B5" s="2" t="inlineStr">
        <is>
          <t>Familias</t>
        </is>
      </c>
      <c r="C5" s="3" t="n">
        <v>1200000</v>
      </c>
      <c r="D5" s="2" t="inlineStr">
        <is>
          <t>Agosto</t>
        </is>
      </c>
      <c r="E5" s="2" t="inlineStr">
        <is>
          <t>SST / RRHH</t>
        </is>
      </c>
    </row>
    <row r="6">
      <c r="A6" s="2" t="inlineStr">
        <is>
          <t>Convenio Funeraria La Aurora</t>
        </is>
      </c>
      <c r="B6" s="2" t="inlineStr">
        <is>
          <t>Trabajadores</t>
        </is>
      </c>
      <c r="C6" s="3" t="n">
        <v>0</v>
      </c>
      <c r="D6" s="2" t="inlineStr">
        <is>
          <t>Continuo</t>
        </is>
      </c>
      <c r="E6" s="2" t="inlineStr">
        <is>
          <t>Gerencia</t>
        </is>
      </c>
    </row>
    <row r="7">
      <c r="A7" s="2" t="inlineStr"/>
      <c r="B7" s="4" t="inlineStr">
        <is>
          <t>TOTAL PRESUPUESTO:</t>
        </is>
      </c>
      <c r="C7" s="5">
        <f>SUM(C2:C6)</f>
        <v/>
      </c>
      <c r="D7" s="2" t="inlineStr"/>
      <c r="E7"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2" customWidth="1" min="1" max="1"/>
    <col width="50" customWidth="1" min="2" max="2"/>
    <col width="50" customWidth="1" min="3" max="3"/>
  </cols>
  <sheetData>
    <row r="1">
      <c r="A1" s="1" t="inlineStr">
        <is>
          <t>FECHA</t>
        </is>
      </c>
      <c r="B1" s="1" t="inlineStr">
        <is>
          <t>CAUSA DE DESCARGO</t>
        </is>
      </c>
      <c r="C1" s="1" t="inlineStr">
        <is>
          <t>SANCIÓN</t>
        </is>
      </c>
    </row>
    <row r="2">
      <c r="A2" s="2" t="inlineStr">
        <is>
          <t>2026-01-23</t>
        </is>
      </c>
      <c r="B2" s="2" t="inlineStr">
        <is>
          <t xml:space="preserve">descargos a Nilson Molina y a Jeferson Gómez por irrespeto con el personal de seguridad debido al evento ocurrido el día de hoy ya que Nilson Molina tiro al suelo la tabla y Jeferson la patio </t>
        </is>
      </c>
      <c r="C2" s="2" t="inlineStr">
        <is>
          <t>Llamado de atención</t>
        </is>
      </c>
    </row>
    <row r="3">
      <c r="A3" s="2" t="inlineStr">
        <is>
          <t>2026-02-05</t>
        </is>
      </c>
      <c r="B3" s="2" t="inlineStr">
        <is>
          <t>Descargos por ausencias a trabajador Jesus hernandez</t>
        </is>
      </c>
      <c r="C3" s="2" t="inlineStr">
        <is>
          <t>Culminacion de contrato</t>
        </is>
      </c>
    </row>
    <row r="4">
      <c r="A4" s="2" t="inlineStr">
        <is>
          <t>2026-02-18</t>
        </is>
      </c>
      <c r="B4" s="2" t="inlineStr">
        <is>
          <t xml:space="preserve">Descargo a Walter Rincon por ausencias injustificadas. </t>
        </is>
      </c>
      <c r="C4" s="2" t="inlineStr">
        <is>
          <t>Culminacion de contrato</t>
        </is>
      </c>
    </row>
    <row r="5">
      <c r="A5" s="2" t="inlineStr">
        <is>
          <t>2026-02-20</t>
        </is>
      </c>
      <c r="B5" s="2" t="inlineStr">
        <is>
          <t>Buenas tardes, señores supervisores de mina a partir de la fecha, van a compartir al finalizar el turno junto con el informe a este grupo, una foto de la libreta donde deberan diligenciar las mediciones de cada frente, junto con la hora y exponer el multidetector usado, se va a verificar su trazabilidad durante el turno junto con el apoyo de @ING Jeisson Fuentes y @David SISO si lo quiere a su vez verificar y velar, donde cada vez qué se baje a mina las mediciones registradas en la libreta deben coincidir con los tableros de gases y con las mediciones en las labores, aclaro no es diligenciarlo al finalizar el turno sino es un registro que se debe llevar en el turno, donde al bajar alguno de nosotros se les pedira la misma para verificar su aplicación y son 2 mediciones minimo que se deben registrar, medicionea que a su vez deben coincidir en el libro de gases, @Coexccol el no cumplimiento de ello será motivo inmediato de descargos, esto dado a varias irregularidades presentadas y que se les ha expuesto varias veces, gracias</t>
        </is>
      </c>
      <c r="C5" s="2" t="inlineStr">
        <is>
          <t>Llamado de atención</t>
        </is>
      </c>
    </row>
    <row r="6">
      <c r="A6" s="2" t="inlineStr">
        <is>
          <t>2026-02-25</t>
        </is>
      </c>
      <c r="B6" s="2" t="inlineStr">
        <is>
          <t>El trabajador Carlos Lizcano no entra a charla de seguridad</t>
        </is>
      </c>
      <c r="C6" s="2" t="inlineStr">
        <is>
          <t>Llamado de atención</t>
        </is>
      </c>
    </row>
    <row r="7">
      <c r="A7" s="2" t="inlineStr">
        <is>
          <t>2026-03-18</t>
        </is>
      </c>
      <c r="B7" s="2" t="inlineStr">
        <is>
          <t>Citar a descargos a los patieros Jose Alirio Mendez y David Catalan ya que la basura la estan dejando fuera del lugar que se dispuso lo cual se evidencia desde que uno va bajando</t>
        </is>
      </c>
      <c r="C7" s="2" t="inlineStr">
        <is>
          <t>Llamado de atención</t>
        </is>
      </c>
    </row>
    <row r="8">
      <c r="A8" s="2" t="inlineStr">
        <is>
          <t>2026-03-21</t>
        </is>
      </c>
      <c r="B8" s="2" t="inlineStr">
        <is>
          <t>llamar a descargos a Carlos Benavides por no asistir a examenes medicos a los que fue citado desde la semana anterior</t>
        </is>
      </c>
      <c r="C8" s="2" t="inlineStr">
        <is>
          <t>Llamado de atención</t>
        </is>
      </c>
    </row>
    <row r="9">
      <c r="A9" s="2" t="inlineStr">
        <is>
          <t>2026-03-21</t>
        </is>
      </c>
      <c r="B9" s="2" t="inlineStr">
        <is>
          <t>llamar a descargos a los siguientes trabajadores por inasistencia a turno 
Jeferson chaparro 
Sebastián Cárdenas 
Manuel Laya 
Por insistencia a turno de trabajo</t>
        </is>
      </c>
      <c r="C9" s="2" t="inlineStr">
        <is>
          <t>Se verifica que Manuel Laya tenia permiso. A los trabajadores Jeferson Chaparro y Sebastian Cardenas se sanciono con perdida de dominicales</t>
        </is>
      </c>
    </row>
    <row r="10">
      <c r="A10" s="2" t="inlineStr">
        <is>
          <t>2026-03-21</t>
        </is>
      </c>
      <c r="B10" s="2" t="inlineStr">
        <is>
          <t xml:space="preserve">Descargos a supervisores porque no estan cumpliendo la tarea 
</t>
        </is>
      </c>
      <c r="C10" s="2" t="inlineStr">
        <is>
          <t>Se hace llamado de atención y se alerta que se realizaran descuentos en la alimentacion cuando no cumplan la tarea</t>
        </is>
      </c>
    </row>
    <row r="11">
      <c r="A11" s="2" t="inlineStr">
        <is>
          <t>24*03-2026</t>
        </is>
      </c>
      <c r="B11" s="2" t="inlineStr">
        <is>
          <t>Descargos por ausencias a trabajadores Sebastian Cardenas, Jeferson Chaparro, Jose Serrano, Manuel Laya, Wilson Chiquillo y Angel Segovia</t>
        </is>
      </c>
      <c r="C11" s="2" t="inlineStr">
        <is>
          <t>Se sanciona con perdida de dominicales</t>
        </is>
      </c>
    </row>
    <row r="12">
      <c r="A12" s="2" t="inlineStr">
        <is>
          <t>2026-03-25</t>
        </is>
      </c>
      <c r="B12" s="2" t="inlineStr">
        <is>
          <t>Descargos a Richard Guayero por comportamiento agresivo con sus compañeros, ya que esta guayando y se desespera</t>
        </is>
      </c>
      <c r="C12" s="2" t="inlineStr">
        <is>
          <t>Se realiza llamado de atención</t>
        </is>
      </c>
    </row>
    <row r="13">
      <c r="A13" s="2" t="inlineStr">
        <is>
          <t>2026-03-25</t>
        </is>
      </c>
      <c r="B13" s="2" t="inlineStr">
        <is>
          <t>Descargos para trabajador Sebastian Sanchez y Haider Romero por extravío de martillo y a su vez abandono de trabajo por parte del trabajador Sebastian quien manifesto intespemtivamente que se retiraba ya que su familiar enfermo de repente. Se culmina contrato</t>
        </is>
      </c>
      <c r="C13" s="2" t="inlineStr">
        <is>
          <t>Se realiza acuerdo de pago del mismo ya que no se pudo establecer el culpable</t>
        </is>
      </c>
    </row>
    <row r="14">
      <c r="A14" s="2" t="inlineStr">
        <is>
          <t>2026-03-25</t>
        </is>
      </c>
      <c r="B14" s="2" t="inlineStr">
        <is>
          <t>Descargos para supervisore por perdida de martillo</t>
        </is>
      </c>
      <c r="C14" s="2" t="inlineStr">
        <is>
          <t>Se realiza acuerdo de pago del mismo ya que no se pudo establecer el culpable</t>
        </is>
      </c>
    </row>
    <row r="15">
      <c r="A15" s="2" t="inlineStr">
        <is>
          <t>2026-04-06</t>
        </is>
      </c>
      <c r="B15" s="2" t="inlineStr">
        <is>
          <t>Descargo a trabajadores Jhon Alexander, Luis Barrios y Jhon Malpica quienes firmaron el libro en la entrada de una vez la salida</t>
        </is>
      </c>
      <c r="C15" s="2" t="inlineStr">
        <is>
          <t>Se realiza llamado de atención y participacion en charla de seguridad</t>
        </is>
      </c>
    </row>
    <row r="16">
      <c r="A16" s="2" t="inlineStr">
        <is>
          <t>2026-04-09</t>
        </is>
      </c>
      <c r="B16" s="2" t="inlineStr">
        <is>
          <t>@Coexccol por favor llamar a Viancha a descargos por llegada tarde a turno no está haciendo el empalme a la hora que corresponde</t>
        </is>
      </c>
      <c r="C16" s="2" t="inlineStr">
        <is>
          <t>Por política de la empresa el ingreso a mina es media hora antes de cada turno y no están cumpliendo los supervisores</t>
        </is>
      </c>
    </row>
    <row r="17">
      <c r="A17" s="2" t="inlineStr">
        <is>
          <t>2026-04-22</t>
        </is>
      </c>
      <c r="B17" s="2" t="inlineStr">
        <is>
          <t>Descargos al trabajador Dumar Oropeza por salir positivo a alcoholemia</t>
        </is>
      </c>
      <c r="C17" s="2" t="inlineStr">
        <is>
          <t>Se sanciona con suspensión de 3 dias y perdida de dominical</t>
        </is>
      </c>
    </row>
    <row r="18">
      <c r="A18" s="2" t="inlineStr">
        <is>
          <t>2026-04-23</t>
        </is>
      </c>
      <c r="B18" s="2" t="inlineStr">
        <is>
          <t>Descargos al trabajador Carlos Gonzalez por salir positivo a alcoholemia</t>
        </is>
      </c>
      <c r="C18" s="2" t="inlineStr">
        <is>
          <t>Se sanciona con suspensión de 3 dias y perdida de dominical</t>
        </is>
      </c>
    </row>
    <row r="19">
      <c r="A19" s="2" t="inlineStr">
        <is>
          <t>2026-04-23</t>
        </is>
      </c>
      <c r="B19" s="2" t="inlineStr">
        <is>
          <t>Descargo a Martin Patiño para que se comporte mientras se encuentre en capacitación, comportamiento</t>
        </is>
      </c>
      <c r="C19" s="2" t="inlineStr">
        <is>
          <t>Se realiza llamado de atención y participacion en charla de seguridad</t>
        </is>
      </c>
    </row>
    <row r="20">
      <c r="A20" s="2" t="inlineStr">
        <is>
          <t>2026-04-27</t>
        </is>
      </c>
      <c r="B20" s="2" t="inlineStr">
        <is>
          <t>Descargo personal ventana por ausencias y llegada tarde. Arley Ballesta y Jhon Calderon.</t>
        </is>
      </c>
      <c r="C20" s="2" t="inlineStr">
        <is>
          <t>Se realiza llamado de atención y se le insta a cumplir de lo contrario seran trasladados a un corte. Se comprometen a cumplir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9" customWidth="1" min="1" max="1"/>
    <col width="29" customWidth="1" min="2" max="2"/>
    <col width="18" customWidth="1" min="3" max="3"/>
    <col width="26" customWidth="1" min="4" max="4"/>
  </cols>
  <sheetData>
    <row r="1">
      <c r="A1" s="1" t="inlineStr">
        <is>
          <t>Mes</t>
        </is>
      </c>
      <c r="B1" s="1" t="inlineStr">
        <is>
          <t>Días Cotizados Trabajadores</t>
        </is>
      </c>
      <c r="C1" s="1" t="inlineStr">
        <is>
          <t>Días Incapacidad</t>
        </is>
      </c>
      <c r="D1" s="1" t="inlineStr">
        <is>
          <t>Índice de Desviación (%)</t>
        </is>
      </c>
    </row>
    <row r="2">
      <c r="A2" s="2" t="inlineStr">
        <is>
          <t>Enero</t>
        </is>
      </c>
      <c r="B2" s="2" t="n">
        <v>1625</v>
      </c>
      <c r="C2" s="2" t="n">
        <v>39</v>
      </c>
      <c r="D2" s="6">
        <f>C2/B2</f>
        <v/>
      </c>
    </row>
    <row r="3">
      <c r="A3" s="2" t="inlineStr">
        <is>
          <t>Febrero</t>
        </is>
      </c>
      <c r="B3" s="2" t="n">
        <v>1735</v>
      </c>
      <c r="C3" s="2" t="n">
        <v>30</v>
      </c>
      <c r="D3" s="6">
        <f>C3/B3</f>
        <v/>
      </c>
    </row>
    <row r="4">
      <c r="A4" s="2" t="inlineStr">
        <is>
          <t>Marzo</t>
        </is>
      </c>
      <c r="B4" s="2" t="n">
        <v>1857</v>
      </c>
      <c r="C4" s="2" t="n">
        <v>95</v>
      </c>
      <c r="D4" s="6">
        <f>C4/B4</f>
        <v/>
      </c>
    </row>
    <row r="5">
      <c r="A5" s="2" t="inlineStr">
        <is>
          <t>Abril</t>
        </is>
      </c>
      <c r="B5" s="2" t="n">
        <v>2038</v>
      </c>
      <c r="C5" s="2" t="n">
        <v>75</v>
      </c>
      <c r="D5" s="6">
        <f>C5/B5</f>
        <v/>
      </c>
    </row>
    <row r="6">
      <c r="A6" s="2" t="inlineStr">
        <is>
          <t>Mayo</t>
        </is>
      </c>
      <c r="B6" s="2" t="n">
        <v>2158</v>
      </c>
      <c r="C6" s="2" t="n">
        <v>127</v>
      </c>
      <c r="D6" s="6">
        <f>C6/B6</f>
        <v/>
      </c>
    </row>
    <row r="7">
      <c r="A7" s="4" t="inlineStr">
        <is>
          <t>TOTAL</t>
        </is>
      </c>
      <c r="B7" s="4">
        <f>SUM(B2:B6)</f>
        <v/>
      </c>
      <c r="C7" s="4">
        <f>SUM(C2:C6)</f>
        <v/>
      </c>
      <c r="D7" s="7">
        <f>C7/B7</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9" customWidth="1" min="1" max="1"/>
    <col width="20" customWidth="1" min="2" max="2"/>
    <col width="14" customWidth="1" min="3" max="3"/>
    <col width="28" customWidth="1" min="4" max="4"/>
    <col width="21" customWidth="1" min="5" max="5"/>
    <col width="41" customWidth="1" min="6" max="6"/>
  </cols>
  <sheetData>
    <row r="1">
      <c r="A1" s="1" t="inlineStr">
        <is>
          <t>Mes</t>
        </is>
      </c>
      <c r="B1" s="1" t="inlineStr">
        <is>
          <t>Total Trabajadores</t>
        </is>
      </c>
      <c r="C1" s="1" t="inlineStr">
        <is>
          <t>Días x Trab.</t>
        </is>
      </c>
      <c r="D1" s="1" t="inlineStr">
        <is>
          <t>Total Dominicales Posibles</t>
        </is>
      </c>
      <c r="E1" s="1" t="inlineStr">
        <is>
          <t>Dominicales Pagados</t>
        </is>
      </c>
      <c r="F1" s="1" t="inlineStr">
        <is>
          <t>Dominicales Perdidos (Ausencia/Sanción)</t>
        </is>
      </c>
    </row>
    <row r="2">
      <c r="A2" s="2" t="inlineStr">
        <is>
          <t>Enero</t>
        </is>
      </c>
      <c r="B2" s="2" t="n">
        <v>51</v>
      </c>
      <c r="C2" s="2" t="n">
        <v>4</v>
      </c>
      <c r="D2" s="2" t="n">
        <v>204</v>
      </c>
      <c r="E2" s="2" t="n">
        <v>105</v>
      </c>
      <c r="F2" s="2" t="n">
        <v>99</v>
      </c>
    </row>
    <row r="3">
      <c r="A3" s="2" t="inlineStr">
        <is>
          <t>Febrero</t>
        </is>
      </c>
      <c r="B3" s="2" t="n">
        <v>50</v>
      </c>
      <c r="C3" s="2" t="n">
        <v>4</v>
      </c>
      <c r="D3" s="2" t="n">
        <v>200</v>
      </c>
      <c r="E3" s="2" t="n">
        <v>120</v>
      </c>
      <c r="F3" s="2" t="n">
        <v>80</v>
      </c>
    </row>
    <row r="4">
      <c r="A4" s="2" t="inlineStr">
        <is>
          <t>Marzo</t>
        </is>
      </c>
      <c r="B4" s="2" t="n">
        <v>52</v>
      </c>
      <c r="C4" s="2" t="n">
        <v>4</v>
      </c>
      <c r="D4" s="2" t="n">
        <v>208</v>
      </c>
      <c r="E4" s="2" t="n">
        <v>196</v>
      </c>
      <c r="F4" s="2" t="n">
        <v>12</v>
      </c>
    </row>
    <row r="5">
      <c r="A5" s="2" t="inlineStr">
        <is>
          <t>Abril</t>
        </is>
      </c>
      <c r="B5" s="2" t="n">
        <v>56</v>
      </c>
      <c r="C5" s="2" t="n">
        <v>4</v>
      </c>
      <c r="D5" s="2" t="n">
        <v>224</v>
      </c>
      <c r="E5" s="2" t="n">
        <v>190</v>
      </c>
      <c r="F5" s="2" t="n">
        <v>34</v>
      </c>
    </row>
    <row r="6">
      <c r="A6" s="2" t="inlineStr">
        <is>
          <t>Mayo</t>
        </is>
      </c>
      <c r="B6" s="2" t="n">
        <v>62</v>
      </c>
      <c r="C6" s="2" t="n">
        <v>4</v>
      </c>
      <c r="D6" s="2" t="n">
        <v>248</v>
      </c>
      <c r="E6" s="2" t="n">
        <v>225</v>
      </c>
      <c r="F6" s="2" t="n">
        <v>23</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21" customWidth="1" min="2" max="2"/>
  </cols>
  <sheetData>
    <row r="1">
      <c r="A1" s="8" t="inlineStr">
        <is>
          <t>Métrica de Producción y Subsidio (Mayo 2026)</t>
        </is>
      </c>
      <c r="B1" s="1" t="inlineStr">
        <is>
          <t>Valor</t>
        </is>
      </c>
    </row>
    <row r="2">
      <c r="A2" s="9" t="inlineStr">
        <is>
          <t>Toneladas Producidas</t>
        </is>
      </c>
      <c r="B2" s="2" t="n">
        <v>1927</v>
      </c>
    </row>
    <row r="3">
      <c r="A3" s="4" t="inlineStr">
        <is>
          <t>Valor por Tonelada</t>
        </is>
      </c>
      <c r="B3" s="3" t="n">
        <v>260000</v>
      </c>
    </row>
    <row r="4">
      <c r="A4" s="4" t="inlineStr">
        <is>
          <t>Ingreso Total de Producción</t>
        </is>
      </c>
      <c r="B4" s="3" t="n">
        <v>501020000</v>
      </c>
    </row>
    <row r="5">
      <c r="A5" s="4" t="inlineStr">
        <is>
          <t>Total Subsidio Alimentación Pagado</t>
        </is>
      </c>
      <c r="B5" s="3" t="n">
        <v>30483500</v>
      </c>
    </row>
    <row r="6">
      <c r="A6" s="4" t="inlineStr">
        <is>
          <t>Costo del Subsidio por Tonelada Producida</t>
        </is>
      </c>
      <c r="B6" s="3" t="n">
        <v>15819.14893617021</v>
      </c>
    </row>
    <row r="7">
      <c r="A7" s="4" t="inlineStr">
        <is>
          <t>Porcentaje del Subsidio sobre Ingreso</t>
        </is>
      </c>
      <c r="B7" s="6" t="n">
        <v>0.06084288052373159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2026-06-22T16:50:29Z</dcterms:created>
  <dcterms:modified xmlns:dcterms="http://purl.org/dc/terms/" xmlns:xsi="http://www.w3.org/2001/XMLSchema-instance" xsi:type="dcterms:W3CDTF">2026-06-22T16:50:29Z</dcterms:modified>
</cp:coreProperties>
</file>